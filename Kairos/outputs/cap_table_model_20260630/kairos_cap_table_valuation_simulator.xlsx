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1cfc0a1a142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556264036143b6"/>
    <x:sheet xmlns:r="http://schemas.openxmlformats.org/officeDocument/2006/relationships" name="Inputs" sheetId="2" r:id="Rf03ccf53039e48d5"/>
    <x:sheet xmlns:r="http://schemas.openxmlformats.org/officeDocument/2006/relationships" name="Cap Table" sheetId="3" r:id="R3bde757a71c74118"/>
    <x:sheet xmlns:r="http://schemas.openxmlformats.org/officeDocument/2006/relationships" name="Valuation Sim" sheetId="4" r:id="R2f2d6e6059bd4d01"/>
    <x:sheet xmlns:r="http://schemas.openxmlformats.org/officeDocument/2006/relationships" name="Scenarios" sheetId="5" r:id="R128eea2c6c634e2e"/>
    <x:sheet xmlns:r="http://schemas.openxmlformats.org/officeDocument/2006/relationships" name="Checks" sheetId="6" r:id="R0e5e4ac3268043c9"/>
    <x:sheet xmlns:r="http://schemas.openxmlformats.org/officeDocument/2006/relationships" name="Sources" sheetId="7" r:id="R2d291e19a9f54fd5"/>
  </x:sheets>
</x:workbook>
</file>

<file path=xl/comments1.xml><?xml version="1.0" encoding="utf-8"?>
<x:comments xmlns:x="http://schemas.openxmlformats.org/spreadsheetml/2006/main">
  <x:authors>
    <x:author>tc={8F736B44-03BC-E6F2-8B52-5EA86F7EEAAF}</x:author>
    <x:author>tc={FAEAE01B-720A-03C8-F492-4F2901E935D4}</x:author>
    <x:author>tc={CCC5532B-5557-A951-7EFE-B5D4A0CFBFA4}</x:author>
    <x:author>tc={9EA35F1E-E993-539F-C69F-D3A74A5DD167}</x:author>
    <x:author>tc={3EF62220-405C-6B8F-1623-3873607F7BF7}</x:author>
    <x:author>tc={0E8AA32D-CCB4-84C9-015B-0635C57D9487}</x:author>
    <x:author>tc={7331D1DE-A486-592E-D728-616EFD4BD6DD}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user prompt on 2026-06-30. Initial stated capital assumption.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IP/technology transfer is not modeled as equity consideration by default.</x:t>
        </x:r>
      </x:text>
    </x:comment>
    <x:comment ref="B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user prompt on 2026-06-30. Planned common-share financing amount.</x:t>
        </x:r>
      </x:text>
    </x:comment>
    <x:comment ref="B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user prompt on 2026-06-30. Target investor ownership around 8%.</x:t>
        </x:r>
      </x:text>
    </x:comment>
    <x:comment ref="B1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10% option pool included for planning. Adjust to match hiring plan and investor negotiation.</x:t>
        </x:r>
      </x:text>
    </x:comment>
    <x:comment ref="B1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Model toggle. After SO pool means the investor target is measured after creating the option pool.</x:t>
        </x:r>
      </x:text>
    </x:comment>
    <x:comment ref="B24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net cash bridge for valuation. Replace with actual cash, debt, and financing fees when available.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(#,##0);-"/>
    <x:numFmt numFmtId="201" formatCode="#,##0.0;[Red](#,##0.0);-"/>
    <x:numFmt numFmtId="202" formatCode="0.0%;[Red](0.0%);-"/>
    <x:numFmt numFmtId="203" formatCode="0.0x;[Red](0.0x);-"/>
    <x:numFmt numFmtId="204" formatCode="0"/>
    <x:numFmt numFmtId="205" formatCode="0.00%;[Red](0.00%);-"/>
  </x:numFmts>
  <x:fonts count="9">
    <x:font>
      <x:sz val="11"/>
      <x:name val="Carlito"/>
    </x:font>
    <x:font>
      <x:sz val="10"/>
      <x:color rgb="FF111827"/>
      <x:name val="Aptos"/>
    </x:font>
    <x:font>
      <x:b/>
      <x:sz val="14"/>
      <x:color rgb="FFFFFFFF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sz val="10"/>
      <x:color rgb="FF0000FF"/>
      <x:name val="Aptos"/>
    </x:font>
    <x:font>
      <x:sz val="10"/>
      <x:color rgb="FF000000"/>
      <x:name val="Aptos"/>
    </x:font>
    <x:font>
      <x:i/>
      <x:sz val="10"/>
      <x:color rgb="FF374151"/>
      <x:name val="Aptos"/>
    </x:font>
    <x:font>
      <x:b/>
      <x:sz val="10"/>
      <x:color rgb="FF0000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FAFAFA"/>
      </x:patternFill>
    </x:fill>
    <x:fill>
      <x:patternFill patternType="solid">
        <x:fgColor rgb="FFEAF2FF"/>
      </x:patternFill>
    </x:fill>
  </x:fills>
  <x:borders count="16">
    <x:border/>
    <x:border>
      <x:left style="thin">
        <x:color rgb="FFC7D0D9"/>
      </x:left>
      <x:top style="thin">
        <x:color rgb="FFC7D0D9"/>
      </x:top>
      <x:bottom style="thin">
        <x:color rgb="FFC7D0D9"/>
      </x:bottom>
    </x:border>
    <x:border>
      <x:top style="thin">
        <x:color rgb="FFC7D0D9"/>
      </x:top>
      <x:bottom style="thin">
        <x:color rgb="FFC7D0D9"/>
      </x:bottom>
    </x:border>
    <x:border>
      <x:right style="thin">
        <x:color rgb="FFC7D0D9"/>
      </x:right>
      <x:top style="thin">
        <x:color rgb="FFC7D0D9"/>
      </x:top>
      <x:bottom style="thin">
        <x:color rgb="FFC7D0D9"/>
      </x:bottom>
    </x:border>
    <x:border>
      <x:left style="thin">
        <x:color rgb="FFC7D0D9"/>
      </x:left>
      <x:right style="thin">
        <x:color rgb="FFC7D0D9"/>
      </x:right>
      <x:top style="thin">
        <x:color rgb="FFC7D0D9"/>
      </x:top>
    </x:border>
    <x:border>
      <x:left style="thin">
        <x:color rgb="FFC7D0D9"/>
      </x:left>
      <x:right style="thin">
        <x:color rgb="FFC7D0D9"/>
      </x:right>
      <x:bottom style="thin">
        <x:color rgb="FFC7D0D9"/>
      </x:bottom>
    </x:border>
    <x:border>
      <x:left style="thin">
        <x:color rgb="FFC7D0D9"/>
      </x:left>
      <x:right style="thin">
        <x:color rgb="FFC7D0D9"/>
      </x:right>
    </x:border>
    <x:border>
      <x:left style="thin">
        <x:color rgb="FFC7D0D9"/>
      </x:left>
      <x:right style="thin">
        <x:color rgb="FFC7D0D9"/>
      </x:right>
      <x:top style="thin">
        <x:color rgb="FFC7D0D9"/>
      </x:top>
      <x:bottom style="thin">
        <x:color rgb="FFC7D0D9"/>
      </x:bottom>
    </x:border>
    <x:border>
      <x:left style="thin">
        <x:color rgb="FFC7D0D9"/>
      </x:left>
      <x:top style="thin">
        <x:color rgb="FFC7D0D9"/>
      </x:top>
    </x:border>
    <x:border>
      <x:right style="thin">
        <x:color rgb="FFC7D0D9"/>
      </x:right>
      <x:top style="thin">
        <x:color rgb="FFC7D0D9"/>
      </x:top>
    </x:border>
    <x:border>
      <x:left style="thin">
        <x:color rgb="FFC7D0D9"/>
      </x:left>
    </x:border>
    <x:border>
      <x:right style="thin">
        <x:color rgb="FFC7D0D9"/>
      </x:right>
    </x:border>
    <x:border>
      <x:left style="thin">
        <x:color rgb="FFC7D0D9"/>
      </x:left>
      <x:bottom style="thin">
        <x:color rgb="FFC7D0D9"/>
      </x:bottom>
    </x:border>
    <x:border>
      <x:right style="thin">
        <x:color rgb="FFC7D0D9"/>
      </x:right>
      <x:bottom style="thin">
        <x:color rgb="FFC7D0D9"/>
      </x:bottom>
    </x:border>
    <x:border>
      <x:top style="thin">
        <x:color rgb="FFC7D0D9"/>
      </x:top>
    </x:border>
    <x:border>
      <x:bottom style="thin">
        <x:color rgb="FFC7D0D9"/>
      </x:bottom>
    </x:border>
  </x:borders>
  <x:cellStyleXfs count="1">
    <x:xf numFmtId="0" fontId="0" fillId="0" borderId="0"/>
  </x:cellStyleXfs>
  <x:cellXfs count="27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200" fontId="5" fillId="4" borderId="4" xfId="0" applyNumberFormat="1" applyFont="1" applyFill="1" applyBorder="1"/>
    <x:xf numFmtId="200" fontId="5" fillId="4" borderId="5" xfId="0" applyNumberFormat="1" applyFont="1" applyFill="1" applyBorder="1"/>
    <x:xf numFmtId="201" fontId="6" fillId="0" borderId="7" xfId="0" applyNumberFormat="1" applyFont="1" applyFill="1" applyBorder="1"/>
    <x:xf numFmtId="200" fontId="5" fillId="4" borderId="6" xfId="0" applyNumberFormat="1" applyFont="1" applyFill="1" applyBorder="1"/>
    <x:xf numFmtId="202" fontId="5" fillId="4" borderId="6" xfId="0" applyNumberFormat="1" applyFont="1" applyFill="1" applyBorder="1"/>
    <x:xf numFmtId="202" fontId="5" fillId="4" borderId="5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203" fontId="5" fillId="4" borderId="8" xfId="0" applyNumberFormat="1" applyFont="1" applyFill="1" applyBorder="1"/>
    <x:xf numFmtId="203" fontId="5" fillId="4" borderId="9" xfId="0" applyNumberFormat="1" applyFont="1" applyFill="1" applyBorder="1"/>
    <x:xf numFmtId="203" fontId="5" fillId="4" borderId="10" xfId="0" applyNumberFormat="1" applyFont="1" applyFill="1" applyBorder="1"/>
    <x:xf numFmtId="203" fontId="5" fillId="4" borderId="11" xfId="0" applyNumberFormat="1" applyFont="1" applyFill="1" applyBorder="1"/>
    <x:xf numFmtId="203" fontId="5" fillId="4" borderId="12" xfId="0" applyNumberFormat="1" applyFont="1" applyFill="1" applyBorder="1"/>
    <x:xf numFmtId="203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6" fillId="0" borderId="4" xfId="0" applyNumberFormat="1" applyFont="1" applyFill="1" applyBorder="1"/>
    <x:xf numFmtId="0" fontId="6" fillId="0" borderId="6" xfId="0" applyNumberFormat="1" applyFont="1" applyFill="1" applyBorder="1"/>
    <x:xf numFmtId="0" fontId="6" fillId="0" borderId="5" xfId="0" applyNumberFormat="1" applyFont="1" applyFill="1" applyBorder="1"/>
    <x:xf numFmtId="204" fontId="5" fillId="4" borderId="8" xfId="0" applyNumberFormat="1" applyFont="1" applyFill="1" applyBorder="1"/>
    <x:xf numFmtId="204" fontId="5" fillId="4" borderId="10" xfId="0" applyNumberFormat="1" applyFont="1" applyFill="1" applyBorder="1"/>
    <x:xf numFmtId="204" fontId="5" fillId="4" borderId="12" xfId="0" applyNumberFormat="1" applyFont="1" applyFill="1" applyBorder="1"/>
    <x:xf numFmtId="200" fontId="5" fillId="4" borderId="14" xfId="0" applyNumberFormat="1" applyFont="1" applyFill="1" applyBorder="1"/>
    <x:xf numFmtId="200" fontId="5" fillId="4" borderId="0" xfId="0" applyNumberFormat="1" applyFont="1" applyFill="1" applyBorder="1"/>
    <x:xf numFmtId="200" fontId="5" fillId="4" borderId="15" xfId="0" applyNumberFormat="1" applyFont="1" applyFill="1" applyBorder="1"/>
    <x:xf numFmtId="202" fontId="5" fillId="4" borderId="9" xfId="0" applyNumberFormat="1" applyFont="1" applyFill="1" applyBorder="1"/>
    <x:xf numFmtId="202" fontId="5" fillId="4" borderId="11" xfId="0" applyNumberFormat="1" applyFont="1" applyFill="1" applyBorder="1"/>
    <x:xf numFmtId="202" fontId="5" fillId="4" borderId="13" xfId="0" applyNumberFormat="1" applyFont="1" applyFill="1" applyBorder="1"/>
    <x:xf numFmtId="200" fontId="6" fillId="0" borderId="4" xfId="0" applyNumberFormat="1" applyFont="1" applyFill="1" applyBorder="1"/>
    <x:xf numFmtId="200" fontId="6" fillId="0" borderId="6" xfId="0" applyNumberFormat="1" applyFont="1" applyFill="1" applyBorder="1"/>
    <x:xf numFmtId="200" fontId="6" fillId="0" borderId="5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8" xfId="0" applyNumberFormat="1" applyFont="1" applyFill="1" applyBorder="1"/>
    <x:xf numFmtId="0" fontId="7" fillId="5" borderId="14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5" xfId="0" applyNumberFormat="1" applyFont="1" applyFill="1" applyBorder="1"/>
    <x:xf numFmtId="0" fontId="7" fillId="5" borderId="13" xfId="0" applyNumberFormat="1" applyFont="1" applyFill="1" applyBorder="1"/>
    <x:xf numFmtId="0" fontId="7" fillId="5" borderId="8" xfId="0" applyNumberFormat="1" applyFont="1" applyFill="1" applyBorder="1" applyAlignment="1">
      <x:alignment wrapText="1"/>
    </x:xf>
    <x:xf numFmtId="0" fontId="7" fillId="5" borderId="14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15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6" fillId="0" borderId="8" xfId="0" applyNumberFormat="1" applyFont="1" applyFill="1" applyBorder="1"/>
    <x:xf numFmtId="0" fontId="6" fillId="0" borderId="14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5" xfId="0" applyNumberFormat="1" applyFont="1" applyFill="1" applyBorder="1"/>
    <x:xf numFmtId="0" fontId="6" fillId="0" borderId="13" xfId="0" applyNumberFormat="1" applyFont="1" applyFill="1" applyBorder="1"/>
    <x:xf numFmtId="0" fontId="1" fillId="6" borderId="0" xfId="0" applyNumberFormat="1" applyFont="1" applyFill="1" applyBorder="1"/>
    <x:xf numFmtId="0" fontId="6" fillId="6" borderId="10" xfId="0" applyNumberFormat="1" applyFont="1" applyFill="1" applyBorder="1"/>
    <x:xf numFmtId="0" fontId="6" fillId="6" borderId="0" xfId="0" applyNumberFormat="1" applyFont="1" applyFill="1" applyBorder="1"/>
    <x:xf numFmtId="0" fontId="6" fillId="6" borderId="11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200" fontId="6" fillId="0" borderId="8" xfId="0" applyNumberFormat="1" applyFont="1" applyFill="1" applyBorder="1"/>
    <x:xf numFmtId="200" fontId="6" fillId="0" borderId="14" xfId="0" applyNumberFormat="1" applyFont="1" applyFill="1" applyBorder="1"/>
    <x:xf numFmtId="200" fontId="6" fillId="0" borderId="9" xfId="0" applyNumberFormat="1" applyFont="1" applyFill="1" applyBorder="1"/>
    <x:xf numFmtId="201" fontId="6" fillId="0" borderId="10" xfId="0" applyNumberFormat="1" applyFont="1" applyFill="1" applyBorder="1"/>
    <x:xf numFmtId="201" fontId="6" fillId="0" borderId="0" xfId="0" applyNumberFormat="1" applyFont="1" applyFill="1" applyBorder="1"/>
    <x:xf numFmtId="201" fontId="6" fillId="0" borderId="11" xfId="0" applyNumberFormat="1" applyFont="1" applyFill="1" applyBorder="1"/>
    <x:xf numFmtId="200" fontId="6" fillId="0" borderId="10" xfId="0" applyNumberFormat="1" applyFont="1" applyFill="1" applyBorder="1"/>
    <x:xf numFmtId="200" fontId="6" fillId="0" borderId="0" xfId="0" applyNumberFormat="1" applyFont="1" applyFill="1" applyBorder="1"/>
    <x:xf numFmtId="200" fontId="6" fillId="0" borderId="11" xfId="0" applyNumberFormat="1" applyFont="1" applyFill="1" applyBorder="1"/>
    <x:xf numFmtId="202" fontId="6" fillId="0" borderId="10" xfId="0" applyNumberFormat="1" applyFont="1" applyFill="1" applyBorder="1"/>
    <x:xf numFmtId="202" fontId="6" fillId="0" borderId="0" xfId="0" applyNumberFormat="1" applyFont="1" applyFill="1" applyBorder="1"/>
    <x:xf numFmtId="202" fontId="6" fillId="0" borderId="11" xfId="0" applyNumberFormat="1" applyFont="1" applyFill="1" applyBorder="1"/>
    <x:xf numFmtId="200" fontId="4" fillId="6" borderId="1" xfId="0" applyNumberFormat="1" applyFont="1" applyFill="1" applyBorder="1"/>
    <x:xf numFmtId="200" fontId="4" fillId="6" borderId="2" xfId="0" applyNumberFormat="1" applyFont="1" applyFill="1" applyBorder="1"/>
    <x:xf numFmtId="200" fontId="4" fillId="6" borderId="3" xfId="0" applyNumberFormat="1" applyFont="1" applyFill="1" applyBorder="1"/>
    <x:xf numFmtId="200" fontId="6" fillId="0" borderId="12" xfId="0" applyNumberFormat="1" applyFont="1" applyFill="1" applyBorder="1"/>
    <x:xf numFmtId="200" fontId="6" fillId="0" borderId="15" xfId="0" applyNumberFormat="1" applyFont="1" applyFill="1" applyBorder="1"/>
    <x:xf numFmtId="200" fontId="6" fillId="0" borderId="13" xfId="0" applyNumberFormat="1" applyFont="1" applyFill="1" applyBorder="1"/>
    <x:xf numFmtId="0" fontId="6" fillId="6" borderId="12" xfId="0" applyNumberFormat="1" applyFont="1" applyFill="1" applyBorder="1"/>
    <x:xf numFmtId="0" fontId="6" fillId="6" borderId="15" xfId="0" applyNumberFormat="1" applyFont="1" applyFill="1" applyBorder="1"/>
    <x:xf numFmtId="0" fontId="6" fillId="6" borderId="13" xfId="0" applyNumberFormat="1" applyFont="1" applyFill="1" applyBorder="1"/>
    <x:xf numFmtId="0" fontId="4" fillId="6" borderId="12" xfId="0" applyNumberFormat="1" applyFont="1" applyFill="1" applyBorder="1"/>
    <x:xf numFmtId="0" fontId="4" fillId="6" borderId="15" xfId="0" applyNumberFormat="1" applyFont="1" applyFill="1" applyBorder="1"/>
    <x:xf numFmtId="0" fontId="4" fillId="6" borderId="13" xfId="0" applyNumberFormat="1" applyFont="1" applyFill="1" applyBorder="1"/>
    <x:xf numFmtId="0" fontId="4" fillId="6" borderId="8" xfId="0" applyNumberFormat="1" applyFont="1" applyFill="1" applyBorder="1"/>
    <x:xf numFmtId="0" fontId="4" fillId="6" borderId="14" xfId="0" applyNumberFormat="1" applyFont="1" applyFill="1" applyBorder="1"/>
    <x:xf numFmtId="0" fontId="4" fillId="6" borderId="9" xfId="0" applyNumberFormat="1" applyFont="1" applyFill="1" applyBorder="1"/>
    <x:xf numFmtId="200" fontId="4" fillId="6" borderId="8" xfId="0" applyNumberFormat="1" applyFont="1" applyFill="1" applyBorder="1"/>
    <x:xf numFmtId="200" fontId="4" fillId="6" borderId="14" xfId="0" applyNumberFormat="1" applyFont="1" applyFill="1" applyBorder="1"/>
    <x:xf numFmtId="200" fontId="4" fillId="6" borderId="9" xfId="0" applyNumberFormat="1" applyFont="1" applyFill="1" applyBorder="1"/>
    <x:xf numFmtId="200" fontId="4" fillId="6" borderId="12" xfId="0" applyNumberFormat="1" applyFont="1" applyFill="1" applyBorder="1"/>
    <x:xf numFmtId="200" fontId="4" fillId="6" borderId="15" xfId="0" applyNumberFormat="1" applyFont="1" applyFill="1" applyBorder="1"/>
    <x:xf numFmtId="200" fontId="4" fillId="6" borderId="13" xfId="0" applyNumberFormat="1" applyFont="1" applyFill="1" applyBorder="1"/>
    <x:xf numFmtId="202" fontId="6" fillId="0" borderId="8" xfId="0" applyNumberFormat="1" applyFont="1" applyFill="1" applyBorder="1"/>
    <x:xf numFmtId="202" fontId="6" fillId="0" borderId="14" xfId="0" applyNumberFormat="1" applyFont="1" applyFill="1" applyBorder="1"/>
    <x:xf numFmtId="202" fontId="6" fillId="0" borderId="9" xfId="0" applyNumberFormat="1" applyFont="1" applyFill="1" applyBorder="1"/>
    <x:xf numFmtId="202" fontId="4" fillId="6" borderId="1" xfId="0" applyNumberFormat="1" applyFont="1" applyFill="1" applyBorder="1"/>
    <x:xf numFmtId="202" fontId="4" fillId="6" borderId="2" xfId="0" applyNumberFormat="1" applyFont="1" applyFill="1" applyBorder="1"/>
    <x:xf numFmtId="202" fontId="4" fillId="6" borderId="3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203" fontId="6" fillId="0" borderId="14" xfId="0" applyNumberFormat="1" applyFont="1" applyFill="1" applyBorder="1"/>
    <x:xf numFmtId="203" fontId="6" fillId="0" borderId="9" xfId="0" applyNumberFormat="1" applyFont="1" applyFill="1" applyBorder="1"/>
    <x:xf numFmtId="203" fontId="6" fillId="0" borderId="0" xfId="0" applyNumberFormat="1" applyFont="1" applyFill="1" applyBorder="1"/>
    <x:xf numFmtId="203" fontId="6" fillId="0" borderId="11" xfId="0" applyNumberFormat="1" applyFont="1" applyFill="1" applyBorder="1"/>
    <x:xf numFmtId="203" fontId="6" fillId="0" borderId="15" xfId="0" applyNumberFormat="1" applyFont="1" applyFill="1" applyBorder="1"/>
    <x:xf numFmtId="203" fontId="6" fillId="0" borderId="13" xfId="0" applyNumberFormat="1" applyFont="1" applyFill="1" applyBorder="1"/>
    <x:xf numFmtId="202" fontId="6" fillId="0" borderId="15" xfId="0" applyNumberFormat="1" applyFont="1" applyFill="1" applyBorder="1"/>
    <x:xf numFmtId="201" fontId="6" fillId="0" borderId="14" xfId="0" applyNumberFormat="1" applyFont="1" applyFill="1" applyBorder="1"/>
    <x:xf numFmtId="201" fontId="6" fillId="0" borderId="15" xfId="0" applyNumberFormat="1" applyFont="1" applyFill="1" applyBorder="1"/>
    <x:xf numFmtId="202" fontId="6" fillId="0" borderId="13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1" xfId="0" applyNumberFormat="1" applyFont="1" applyFill="1" applyBorder="1"/>
    <x:xf numFmtId="203" fontId="5" fillId="4" borderId="4" xfId="0" applyNumberFormat="1" applyFont="1" applyFill="1" applyBorder="1"/>
    <x:xf numFmtId="203" fontId="5" fillId="4" borderId="6" xfId="0" applyNumberFormat="1" applyFont="1" applyFill="1" applyBorder="1"/>
    <x:xf numFmtId="203" fontId="5" fillId="4" borderId="5" xfId="0" applyNumberFormat="1" applyFont="1" applyFill="1" applyBorder="1"/>
    <x:xf numFmtId="200" fontId="8" fillId="4" borderId="1" xfId="0" applyNumberFormat="1" applyFont="1" applyFill="1" applyBorder="1"/>
    <x:xf numFmtId="200" fontId="8" fillId="4" borderId="2" xfId="0" applyNumberFormat="1" applyFont="1" applyFill="1" applyBorder="1"/>
    <x:xf numFmtId="200" fontId="8" fillId="4" borderId="3" xfId="0" applyNumberFormat="1" applyFont="1" applyFill="1" applyBorder="1"/>
    <x:xf numFmtId="0" fontId="5" fillId="4" borderId="7" xfId="0" applyNumberFormat="1" applyFont="1" applyFill="1" applyBorder="1"/>
    <x:xf numFmtId="203" fontId="5" fillId="4" borderId="7" xfId="0" applyNumberFormat="1" applyFont="1" applyFill="1" applyBorder="1"/>
    <x:xf numFmtId="202" fontId="5" fillId="4" borderId="4" xfId="0" applyNumberFormat="1" applyFont="1" applyFill="1" applyBorder="1"/>
    <x:xf numFmtId="205" fontId="6" fillId="0" borderId="8" xfId="0" applyNumberFormat="1" applyFont="1" applyFill="1" applyBorder="1"/>
    <x:xf numFmtId="205" fontId="6" fillId="0" borderId="14" xfId="0" applyNumberFormat="1" applyFont="1" applyFill="1" applyBorder="1"/>
    <x:xf numFmtId="205" fontId="6" fillId="0" borderId="10" xfId="0" applyNumberFormat="1" applyFont="1" applyFill="1" applyBorder="1"/>
    <x:xf numFmtId="205" fontId="6" fillId="0" borderId="0" xfId="0" applyNumberFormat="1" applyFont="1" applyFill="1" applyBorder="1"/>
    <x:xf numFmtId="204" fontId="6" fillId="0" borderId="10" xfId="0" applyNumberFormat="1" applyFont="1" applyFill="1" applyBorder="1"/>
    <x:xf numFmtId="204" fontId="6" fillId="0" borderId="0" xfId="0" applyNumberFormat="1" applyFont="1" applyFill="1" applyBorder="1"/>
    <x:xf numFmtId="201" fontId="6" fillId="0" borderId="6" xfId="0" applyNumberFormat="1" applyFont="1" applyFill="1" applyBorder="1"/>
    <x:xf numFmtId="202" fontId="6" fillId="0" borderId="6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4" fillId="3" borderId="1" xfId="0" applyNumberFormat="1" applyFont="1" applyFill="1" applyBorder="1" applyAlignment="1">
      <x:alignment wrapText="0"/>
    </x:xf>
    <x:xf numFmtId="0" fontId="4" fillId="3" borderId="2" xfId="0" applyNumberFormat="1" applyFont="1" applyFill="1" applyBorder="1" applyAlignment="1">
      <x:alignment wrapText="0"/>
    </x:xf>
    <x:xf numFmtId="0" fontId="4" fillId="3" borderId="3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200" fontId="6" fillId="0" borderId="4" xfId="0" applyNumberFormat="1" applyFont="1" applyFill="1" applyBorder="1" applyAlignment="1">
      <x:alignment wrapText="0"/>
    </x:xf>
    <x:xf numFmtId="200" fontId="6" fillId="0" borderId="6" xfId="0" applyNumberFormat="1" applyFont="1" applyFill="1" applyBorder="1" applyAlignment="1">
      <x:alignment wrapText="0"/>
    </x:xf>
    <x:xf numFmtId="201" fontId="6" fillId="0" borderId="6" xfId="0" applyNumberFormat="1" applyFont="1" applyFill="1" applyBorder="1" applyAlignment="1">
      <x:alignment wrapText="0"/>
    </x:xf>
    <x:xf numFmtId="202" fontId="6" fillId="0" borderId="6" xfId="0" applyNumberFormat="1" applyFont="1" applyFill="1" applyBorder="1" applyAlignment="1">
      <x:alignment wrapText="0"/>
    </x:xf>
    <x:xf numFmtId="0" fontId="6" fillId="0" borderId="5" xfId="0" applyNumberFormat="1" applyFont="1" applyFill="1" applyBorder="1" applyAlignment="1">
      <x:alignment wrapText="0"/>
    </x:xf>
    <x:xf numFmtId="0" fontId="6" fillId="0" borderId="8" xfId="0" applyNumberFormat="1" applyFont="1" applyFill="1" applyBorder="1" applyAlignment="1">
      <x:alignment wrapText="0"/>
    </x:xf>
    <x:xf numFmtId="200" fontId="6" fillId="0" borderId="14" xfId="0" applyNumberFormat="1" applyFont="1" applyFill="1" applyBorder="1" applyAlignment="1">
      <x:alignment wrapText="0"/>
    </x:xf>
    <x:xf numFmtId="202" fontId="6" fillId="0" borderId="14" xfId="0" applyNumberFormat="1" applyFont="1" applyFill="1" applyBorder="1" applyAlignment="1">
      <x:alignment wrapText="0"/>
    </x:xf>
    <x:xf numFmtId="203" fontId="6" fillId="0" borderId="14" xfId="0" applyNumberFormat="1" applyFont="1" applyFill="1" applyBorder="1" applyAlignment="1">
      <x:alignment wrapText="0"/>
    </x:xf>
    <x:xf numFmtId="202" fontId="6" fillId="0" borderId="9" xfId="0" applyNumberFormat="1" applyFont="1" applyFill="1" applyBorder="1" applyAlignment="1">
      <x:alignment wrapText="0"/>
    </x:xf>
    <x:xf numFmtId="0" fontId="6" fillId="0" borderId="10" xfId="0" applyNumberFormat="1" applyFont="1" applyFill="1" applyBorder="1" applyAlignment="1">
      <x:alignment wrapText="0"/>
    </x:xf>
    <x:xf numFmtId="200" fontId="6" fillId="0" borderId="0" xfId="0" applyNumberFormat="1" applyFont="1" applyFill="1" applyBorder="1" applyAlignment="1">
      <x:alignment wrapText="0"/>
    </x:xf>
    <x:xf numFmtId="202" fontId="6" fillId="0" borderId="0" xfId="0" applyNumberFormat="1" applyFont="1" applyFill="1" applyBorder="1" applyAlignment="1">
      <x:alignment wrapText="0"/>
    </x:xf>
    <x:xf numFmtId="203" fontId="6" fillId="0" borderId="0" xfId="0" applyNumberFormat="1" applyFont="1" applyFill="1" applyBorder="1" applyAlignment="1">
      <x:alignment wrapText="0"/>
    </x:xf>
    <x:xf numFmtId="202" fontId="6" fillId="0" borderId="11" xfId="0" applyNumberFormat="1" applyFont="1" applyFill="1" applyBorder="1" applyAlignment="1">
      <x:alignment wrapText="0"/>
    </x:xf>
    <x:xf numFmtId="0" fontId="6" fillId="0" borderId="12" xfId="0" applyNumberFormat="1" applyFont="1" applyFill="1" applyBorder="1" applyAlignment="1">
      <x:alignment wrapText="0"/>
    </x:xf>
    <x:xf numFmtId="200" fontId="6" fillId="0" borderId="15" xfId="0" applyNumberFormat="1" applyFont="1" applyFill="1" applyBorder="1" applyAlignment="1">
      <x:alignment wrapText="0"/>
    </x:xf>
    <x:xf numFmtId="202" fontId="6" fillId="0" borderId="15" xfId="0" applyNumberFormat="1" applyFont="1" applyFill="1" applyBorder="1" applyAlignment="1">
      <x:alignment wrapText="0"/>
    </x:xf>
    <x:xf numFmtId="203" fontId="6" fillId="0" borderId="15" xfId="0" applyNumberFormat="1" applyFont="1" applyFill="1" applyBorder="1" applyAlignment="1">
      <x:alignment wrapText="0"/>
    </x:xf>
    <x:xf numFmtId="202" fontId="6" fillId="0" borderId="13" xfId="0" applyNumberFormat="1" applyFont="1" applyFill="1" applyBorder="1" applyAlignment="1">
      <x:alignment wrapText="0"/>
    </x:xf>
    <x:xf numFmtId="0" fontId="7" fillId="5" borderId="8" xfId="0" applyNumberFormat="1" applyFont="1" applyFill="1" applyBorder="1" applyAlignment="1">
      <x:alignment wrapText="0"/>
    </x:xf>
    <x:xf numFmtId="0" fontId="7" fillId="5" borderId="14" xfId="0" applyNumberFormat="1" applyFont="1" applyFill="1" applyBorder="1" applyAlignment="1">
      <x:alignment wrapText="0"/>
    </x:xf>
    <x:xf numFmtId="0" fontId="7" fillId="5" borderId="9" xfId="0" applyNumberFormat="1" applyFont="1" applyFill="1" applyBorder="1" applyAlignment="1">
      <x:alignment wrapText="0"/>
    </x:xf>
    <x:xf numFmtId="0" fontId="7" fillId="5" borderId="10" xfId="0" applyNumberFormat="1" applyFont="1" applyFill="1" applyBorder="1" applyAlignment="1">
      <x:alignment wrapText="0"/>
    </x:xf>
    <x:xf numFmtId="0" fontId="7" fillId="5" borderId="0" xfId="0" applyNumberFormat="1" applyFont="1" applyFill="1" applyBorder="1" applyAlignment="1">
      <x:alignment wrapText="0"/>
    </x:xf>
    <x:xf numFmtId="0" fontId="7" fillId="5" borderId="11" xfId="0" applyNumberFormat="1" applyFont="1" applyFill="1" applyBorder="1" applyAlignment="1">
      <x:alignment wrapText="0"/>
    </x:xf>
    <x:xf numFmtId="0" fontId="7" fillId="5" borderId="12" xfId="0" applyNumberFormat="1" applyFont="1" applyFill="1" applyBorder="1" applyAlignment="1">
      <x:alignment wrapText="0"/>
    </x:xf>
    <x:xf numFmtId="0" fontId="7" fillId="5" borderId="15" xfId="0" applyNumberFormat="1" applyFont="1" applyFill="1" applyBorder="1" applyAlignment="1">
      <x:alignment wrapText="0"/>
    </x:xf>
    <x:xf numFmtId="0" fontId="7" fillId="5" borderId="13" xfId="0" applyNumberFormat="1" applyFont="1" applyFill="1" applyBorder="1" applyAlignment="1">
      <x:alignment wrapText="0"/>
    </x:xf>
    <x:xf numFmtId="200" fontId="5" fillId="4" borderId="4" xfId="0" applyNumberFormat="1" applyFont="1" applyFill="1" applyBorder="1" applyAlignment="1">
      <x:alignment wrapText="0"/>
    </x:xf>
    <x:xf numFmtId="200" fontId="5" fillId="4" borderId="5" xfId="0" applyNumberFormat="1" applyFont="1" applyFill="1" applyBorder="1" applyAlignment="1">
      <x:alignment wrapText="0"/>
    </x:xf>
    <x:xf numFmtId="201" fontId="6" fillId="0" borderId="7" xfId="0" applyNumberFormat="1" applyFont="1" applyFill="1" applyBorder="1" applyAlignment="1">
      <x:alignment wrapText="0"/>
    </x:xf>
    <x:xf numFmtId="200" fontId="5" fillId="4" borderId="6" xfId="0" applyNumberFormat="1" applyFont="1" applyFill="1" applyBorder="1" applyAlignment="1">
      <x:alignment wrapText="0"/>
    </x:xf>
    <x:xf numFmtId="202" fontId="5" fillId="4" borderId="6" xfId="0" applyNumberFormat="1" applyFont="1" applyFill="1" applyBorder="1" applyAlignment="1">
      <x:alignment wrapText="0"/>
    </x:xf>
    <x:xf numFmtId="0" fontId="5" fillId="4" borderId="6" xfId="0" applyNumberFormat="1" applyFont="1" applyFill="1" applyBorder="1" applyAlignment="1">
      <x:alignment wrapText="0"/>
    </x:xf>
    <x:xf numFmtId="202" fontId="5" fillId="4" borderId="5" xfId="0" applyNumberFormat="1" applyFont="1" applyFill="1" applyBorder="1" applyAlignment="1">
      <x:alignment wrapText="0"/>
    </x:xf>
    <x:xf numFmtId="0" fontId="5" fillId="4" borderId="5" xfId="0" applyNumberFormat="1" applyFont="1" applyFill="1" applyBorder="1" applyAlignment="1">
      <x:alignment wrapText="0"/>
    </x:xf>
    <x:xf numFmtId="203" fontId="5" fillId="4" borderId="8" xfId="0" applyNumberFormat="1" applyFont="1" applyFill="1" applyBorder="1" applyAlignment="1">
      <x:alignment wrapText="0"/>
    </x:xf>
    <x:xf numFmtId="203" fontId="5" fillId="4" borderId="9" xfId="0" applyNumberFormat="1" applyFont="1" applyFill="1" applyBorder="1" applyAlignment="1">
      <x:alignment wrapText="0"/>
    </x:xf>
    <x:xf numFmtId="203" fontId="5" fillId="4" borderId="10" xfId="0" applyNumberFormat="1" applyFont="1" applyFill="1" applyBorder="1" applyAlignment="1">
      <x:alignment wrapText="0"/>
    </x:xf>
    <x:xf numFmtId="203" fontId="5" fillId="4" borderId="11" xfId="0" applyNumberFormat="1" applyFont="1" applyFill="1" applyBorder="1" applyAlignment="1">
      <x:alignment wrapText="0"/>
    </x:xf>
    <x:xf numFmtId="203" fontId="5" fillId="4" borderId="12" xfId="0" applyNumberFormat="1" applyFont="1" applyFill="1" applyBorder="1" applyAlignment="1">
      <x:alignment wrapText="0"/>
    </x:xf>
    <x:xf numFmtId="203" fontId="5" fillId="4" borderId="13" xfId="0" applyNumberFormat="1" applyFont="1" applyFill="1" applyBorder="1" applyAlignment="1">
      <x:alignment wrapText="0"/>
    </x:xf>
    <x:xf numFmtId="204" fontId="5" fillId="4" borderId="8" xfId="0" applyNumberFormat="1" applyFont="1" applyFill="1" applyBorder="1" applyAlignment="1">
      <x:alignment wrapText="0"/>
    </x:xf>
    <x:xf numFmtId="200" fontId="5" fillId="4" borderId="14" xfId="0" applyNumberFormat="1" applyFont="1" applyFill="1" applyBorder="1" applyAlignment="1">
      <x:alignment wrapText="0"/>
    </x:xf>
    <x:xf numFmtId="202" fontId="5" fillId="4" borderId="9" xfId="0" applyNumberFormat="1" applyFont="1" applyFill="1" applyBorder="1" applyAlignment="1">
      <x:alignment wrapText="0"/>
    </x:xf>
    <x:xf numFmtId="204" fontId="5" fillId="4" borderId="10" xfId="0" applyNumberFormat="1" applyFont="1" applyFill="1" applyBorder="1" applyAlignment="1">
      <x:alignment wrapText="0"/>
    </x:xf>
    <x:xf numFmtId="200" fontId="5" fillId="4" borderId="0" xfId="0" applyNumberFormat="1" applyFont="1" applyFill="1" applyBorder="1" applyAlignment="1">
      <x:alignment wrapText="0"/>
    </x:xf>
    <x:xf numFmtId="202" fontId="5" fillId="4" borderId="11" xfId="0" applyNumberFormat="1" applyFont="1" applyFill="1" applyBorder="1" applyAlignment="1">
      <x:alignment wrapText="0"/>
    </x:xf>
    <x:xf numFmtId="204" fontId="5" fillId="4" borderId="12" xfId="0" applyNumberFormat="1" applyFont="1" applyFill="1" applyBorder="1" applyAlignment="1">
      <x:alignment wrapText="0"/>
    </x:xf>
    <x:xf numFmtId="200" fontId="5" fillId="4" borderId="15" xfId="0" applyNumberFormat="1" applyFont="1" applyFill="1" applyBorder="1" applyAlignment="1">
      <x:alignment wrapText="0"/>
    </x:xf>
    <x:xf numFmtId="202" fontId="5" fillId="4" borderId="13" xfId="0" applyNumberFormat="1" applyFont="1" applyFill="1" applyBorder="1" applyAlignment="1">
      <x:alignment wrapText="0"/>
    </x:xf>
    <x:xf numFmtId="200" fontId="6" fillId="0" borderId="5" xfId="0" applyNumberFormat="1" applyFont="1" applyFill="1" applyBorder="1" applyAlignment="1">
      <x:alignment wrapText="0"/>
    </x:xf>
    <x:xf numFmtId="200" fontId="6" fillId="0" borderId="8" xfId="0" applyNumberFormat="1" applyFont="1" applyFill="1" applyBorder="1" applyAlignment="1">
      <x:alignment wrapText="0"/>
    </x:xf>
    <x:xf numFmtId="200" fontId="6" fillId="0" borderId="9" xfId="0" applyNumberFormat="1" applyFont="1" applyFill="1" applyBorder="1" applyAlignment="1">
      <x:alignment wrapText="0"/>
    </x:xf>
    <x:xf numFmtId="201" fontId="6" fillId="0" borderId="10" xfId="0" applyNumberFormat="1" applyFont="1" applyFill="1" applyBorder="1" applyAlignment="1">
      <x:alignment wrapText="0"/>
    </x:xf>
    <x:xf numFmtId="201" fontId="6" fillId="0" borderId="0" xfId="0" applyNumberFormat="1" applyFont="1" applyFill="1" applyBorder="1" applyAlignment="1">
      <x:alignment wrapText="0"/>
    </x:xf>
    <x:xf numFmtId="201" fontId="6" fillId="0" borderId="11" xfId="0" applyNumberFormat="1" applyFont="1" applyFill="1" applyBorder="1" applyAlignment="1">
      <x:alignment wrapText="0"/>
    </x:xf>
    <x:xf numFmtId="200" fontId="6" fillId="0" borderId="10" xfId="0" applyNumberFormat="1" applyFont="1" applyFill="1" applyBorder="1" applyAlignment="1">
      <x:alignment wrapText="0"/>
    </x:xf>
    <x:xf numFmtId="200" fontId="6" fillId="0" borderId="11" xfId="0" applyNumberFormat="1" applyFont="1" applyFill="1" applyBorder="1" applyAlignment="1">
      <x:alignment wrapText="0"/>
    </x:xf>
    <x:xf numFmtId="202" fontId="6" fillId="0" borderId="10" xfId="0" applyNumberFormat="1" applyFont="1" applyFill="1" applyBorder="1" applyAlignment="1">
      <x:alignment wrapText="0"/>
    </x:xf>
    <x:xf numFmtId="0" fontId="4" fillId="6" borderId="1" xfId="0" applyNumberFormat="1" applyFont="1" applyFill="1" applyBorder="1" applyAlignment="1">
      <x:alignment wrapText="0"/>
    </x:xf>
    <x:xf numFmtId="200" fontId="4" fillId="6" borderId="1" xfId="0" applyNumberFormat="1" applyFont="1" applyFill="1" applyBorder="1" applyAlignment="1">
      <x:alignment wrapText="0"/>
    </x:xf>
    <x:xf numFmtId="200" fontId="4" fillId="6" borderId="2" xfId="0" applyNumberFormat="1" applyFont="1" applyFill="1" applyBorder="1" applyAlignment="1">
      <x:alignment wrapText="0"/>
    </x:xf>
    <x:xf numFmtId="200" fontId="4" fillId="6" borderId="3" xfId="0" applyNumberFormat="1" applyFont="1" applyFill="1" applyBorder="1" applyAlignment="1">
      <x:alignment wrapText="0"/>
    </x:xf>
    <x:xf numFmtId="200" fontId="6" fillId="0" borderId="12" xfId="0" applyNumberFormat="1" applyFont="1" applyFill="1" applyBorder="1" applyAlignment="1">
      <x:alignment wrapText="0"/>
    </x:xf>
    <x:xf numFmtId="200" fontId="6" fillId="0" borderId="13" xfId="0" applyNumberFormat="1" applyFont="1" applyFill="1" applyBorder="1" applyAlignment="1">
      <x:alignment wrapText="0"/>
    </x:xf>
    <x:xf numFmtId="0" fontId="4" fillId="6" borderId="8" xfId="0" applyNumberFormat="1" applyFont="1" applyFill="1" applyBorder="1" applyAlignment="1">
      <x:alignment wrapText="0"/>
    </x:xf>
    <x:xf numFmtId="200" fontId="4" fillId="6" borderId="8" xfId="0" applyNumberFormat="1" applyFont="1" applyFill="1" applyBorder="1" applyAlignment="1">
      <x:alignment wrapText="0"/>
    </x:xf>
    <x:xf numFmtId="200" fontId="4" fillId="6" borderId="14" xfId="0" applyNumberFormat="1" applyFont="1" applyFill="1" applyBorder="1" applyAlignment="1">
      <x:alignment wrapText="0"/>
    </x:xf>
    <x:xf numFmtId="200" fontId="4" fillId="6" borderId="9" xfId="0" applyNumberFormat="1" applyFont="1" applyFill="1" applyBorder="1" applyAlignment="1">
      <x:alignment wrapText="0"/>
    </x:xf>
    <x:xf numFmtId="0" fontId="4" fillId="6" borderId="12" xfId="0" applyNumberFormat="1" applyFont="1" applyFill="1" applyBorder="1" applyAlignment="1">
      <x:alignment wrapText="0"/>
    </x:xf>
    <x:xf numFmtId="200" fontId="4" fillId="6" borderId="12" xfId="0" applyNumberFormat="1" applyFont="1" applyFill="1" applyBorder="1" applyAlignment="1">
      <x:alignment wrapText="0"/>
    </x:xf>
    <x:xf numFmtId="200" fontId="4" fillId="6" borderId="15" xfId="0" applyNumberFormat="1" applyFont="1" applyFill="1" applyBorder="1" applyAlignment="1">
      <x:alignment wrapText="0"/>
    </x:xf>
    <x:xf numFmtId="200" fontId="4" fillId="6" borderId="13" xfId="0" applyNumberFormat="1" applyFont="1" applyFill="1" applyBorder="1" applyAlignment="1">
      <x:alignment wrapText="0"/>
    </x:xf>
    <x:xf numFmtId="202" fontId="6" fillId="0" borderId="8" xfId="0" applyNumberFormat="1" applyFont="1" applyFill="1" applyBorder="1" applyAlignment="1">
      <x:alignment wrapText="0"/>
    </x:xf>
    <x:xf numFmtId="202" fontId="4" fillId="6" borderId="1" xfId="0" applyNumberFormat="1" applyFont="1" applyFill="1" applyBorder="1" applyAlignment="1">
      <x:alignment wrapText="0"/>
    </x:xf>
    <x:xf numFmtId="202" fontId="4" fillId="6" borderId="2" xfId="0" applyNumberFormat="1" applyFont="1" applyFill="1" applyBorder="1" applyAlignment="1">
      <x:alignment wrapText="0"/>
    </x:xf>
    <x:xf numFmtId="202" fontId="4" fillId="6" borderId="3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2" xfId="0" applyNumberFormat="1" applyFont="1" applyFill="1" applyBorder="1" applyAlignment="1">
      <x:alignment wrapText="0"/>
    </x:xf>
    <x:xf numFmtId="0" fontId="6" fillId="0" borderId="3" xfId="0" applyNumberFormat="1" applyFont="1" applyFill="1" applyBorder="1" applyAlignment="1">
      <x:alignment wrapText="0"/>
    </x:xf>
    <x:xf numFmtId="203" fontId="6" fillId="0" borderId="9" xfId="0" applyNumberFormat="1" applyFont="1" applyFill="1" applyBorder="1" applyAlignment="1">
      <x:alignment wrapText="0"/>
    </x:xf>
    <x:xf numFmtId="203" fontId="6" fillId="0" borderId="11" xfId="0" applyNumberFormat="1" applyFont="1" applyFill="1" applyBorder="1" applyAlignment="1">
      <x:alignment wrapText="0"/>
    </x:xf>
    <x:xf numFmtId="203" fontId="6" fillId="0" borderId="13" xfId="0" applyNumberFormat="1" applyFont="1" applyFill="1" applyBorder="1" applyAlignment="1">
      <x:alignment wrapText="0"/>
    </x:xf>
    <x:xf numFmtId="201" fontId="6" fillId="0" borderId="14" xfId="0" applyNumberFormat="1" applyFont="1" applyFill="1" applyBorder="1" applyAlignment="1">
      <x:alignment wrapText="0"/>
    </x:xf>
    <x:xf numFmtId="201" fontId="6" fillId="0" borderId="15" xfId="0" applyNumberFormat="1" applyFont="1" applyFill="1" applyBorder="1" applyAlignment="1">
      <x:alignment wrapText="0"/>
    </x:xf>
    <x:xf numFmtId="200" fontId="8" fillId="4" borderId="1" xfId="0" applyNumberFormat="1" applyFont="1" applyFill="1" applyBorder="1" applyAlignment="1">
      <x:alignment wrapText="0"/>
    </x:xf>
    <x:xf numFmtId="200" fontId="8" fillId="4" borderId="2" xfId="0" applyNumberFormat="1" applyFont="1" applyFill="1" applyBorder="1" applyAlignment="1">
      <x:alignment wrapText="0"/>
    </x:xf>
    <x:xf numFmtId="200" fontId="8" fillId="4" borderId="3" xfId="0" applyNumberFormat="1" applyFont="1" applyFill="1" applyBorder="1" applyAlignment="1">
      <x:alignment wrapText="0"/>
    </x:xf>
    <x:xf numFmtId="203" fontId="5" fillId="4" borderId="4" xfId="0" applyNumberFormat="1" applyFont="1" applyFill="1" applyBorder="1" applyAlignment="1">
      <x:alignment wrapText="0"/>
    </x:xf>
    <x:xf numFmtId="203" fontId="5" fillId="4" borderId="6" xfId="0" applyNumberFormat="1" applyFont="1" applyFill="1" applyBorder="1" applyAlignment="1">
      <x:alignment wrapText="0"/>
    </x:xf>
    <x:xf numFmtId="203" fontId="5" fillId="4" borderId="5" xfId="0" applyNumberFormat="1" applyFont="1" applyFill="1" applyBorder="1" applyAlignment="1">
      <x:alignment wrapText="0"/>
    </x:xf>
    <x:xf numFmtId="203" fontId="5" fillId="4" borderId="7" xfId="0" applyNumberFormat="1" applyFont="1" applyFill="1" applyBorder="1" applyAlignment="1">
      <x:alignment wrapText="0"/>
    </x:xf>
    <x:xf numFmtId="202" fontId="5" fillId="4" borderId="4" xfId="0" applyNumberFormat="1" applyFont="1" applyFill="1" applyBorder="1" applyAlignment="1">
      <x:alignment wrapText="0"/>
    </x:xf>
    <x:xf numFmtId="205" fontId="6" fillId="0" borderId="8" xfId="0" applyNumberFormat="1" applyFont="1" applyFill="1" applyBorder="1" applyAlignment="1">
      <x:alignment wrapText="0"/>
    </x:xf>
    <x:xf numFmtId="205" fontId="6" fillId="0" borderId="14" xfId="0" applyNumberFormat="1" applyFont="1" applyFill="1" applyBorder="1" applyAlignment="1">
      <x:alignment wrapText="0"/>
    </x:xf>
    <x:xf numFmtId="0" fontId="6" fillId="0" borderId="9" xfId="0" applyNumberFormat="1" applyFont="1" applyFill="1" applyBorder="1" applyAlignment="1">
      <x:alignment wrapText="0"/>
    </x:xf>
    <x:xf numFmtId="205" fontId="6" fillId="0" borderId="10" xfId="0" applyNumberFormat="1" applyFont="1" applyFill="1" applyBorder="1" applyAlignment="1">
      <x:alignment wrapText="0"/>
    </x:xf>
    <x:xf numFmtId="205" fontId="6" fillId="0" borderId="0" xfId="0" applyNumberFormat="1" applyFont="1" applyFill="1" applyBorder="1" applyAlignment="1">
      <x:alignment wrapText="0"/>
    </x:xf>
    <x:xf numFmtId="0" fontId="6" fillId="0" borderId="11" xfId="0" applyNumberFormat="1" applyFont="1" applyFill="1" applyBorder="1" applyAlignment="1">
      <x:alignment wrapText="0"/>
    </x:xf>
    <x:xf numFmtId="204" fontId="6" fillId="0" borderId="10" xfId="0" applyNumberFormat="1" applyFont="1" applyFill="1" applyBorder="1" applyAlignment="1">
      <x:alignment wrapText="0"/>
    </x:xf>
    <x:xf numFmtId="204" fontId="6" fillId="0" borderId="0" xfId="0" applyNumberFormat="1" applyFont="1" applyFill="1" applyBorder="1" applyAlignment="1">
      <x:alignment wrapText="0"/>
    </x:xf>
    <x:xf numFmtId="0" fontId="6" fillId="0" borderId="15" xfId="0" applyNumberFormat="1" applyFont="1" applyFill="1" applyBorder="1" applyAlignment="1">
      <x:alignment wrapText="0"/>
    </x:xf>
    <x:xf numFmtId="0" fontId="6" fillId="0" borderId="13" xfId="0" applyNumberFormat="1" applyFont="1" applyFill="1" applyBorder="1" applyAlignment="1">
      <x:alignment wrapText="0"/>
    </x:xf>
    <x:xf numFmtId="0" fontId="6" fillId="0" borderId="14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8bdf1c99d4ab7" /><Relationship Type="http://schemas.openxmlformats.org/officeDocument/2006/relationships/theme" Target="/xl/theme/theme1.xml" Id="R0a9c7276821b4b14" /><Relationship Type="http://schemas.openxmlformats.org/officeDocument/2006/relationships/sharedStrings" Target="/xl/sharedStrings.xml" Id="Rc4d7ba6aee2d4eae" /><Relationship Type="http://schemas.openxmlformats.org/officeDocument/2006/relationships/worksheet" Target="/xl/worksheets/sheet1.xml" Id="Ra7556264036143b6" /><Relationship Type="http://schemas.openxmlformats.org/officeDocument/2006/relationships/worksheet" Target="/xl/worksheets/sheet2.xml" Id="Rf03ccf53039e48d5" /><Relationship Type="http://schemas.openxmlformats.org/officeDocument/2006/relationships/worksheet" Target="/xl/worksheets/sheet3.xml" Id="R3bde757a71c74118" /><Relationship Type="http://schemas.openxmlformats.org/officeDocument/2006/relationships/worksheet" Target="/xl/worksheets/sheet4.xml" Id="R2f2d6e6059bd4d01" /><Relationship Type="http://schemas.openxmlformats.org/officeDocument/2006/relationships/worksheet" Target="/xl/worksheets/sheet5.xml" Id="R128eea2c6c634e2e" /><Relationship Type="http://schemas.openxmlformats.org/officeDocument/2006/relationships/worksheet" Target="/xl/worksheets/sheet6.xml" Id="R0e5e4ac3268043c9" /><Relationship Type="http://schemas.openxmlformats.org/officeDocument/2006/relationships/worksheet" Target="/xl/worksheets/sheet7.xml" Id="R2d291e19a9f54fd5" /><Relationship Type="http://schemas.microsoft.com/office/2017/10/relationships/person" Target="/xl/persons/person.xml" Id="R5899c69215da4fae" /></Relationships>
</file>

<file path=xl/persons/person.xml><?xml version="1.0" encoding="utf-8"?>
<xltc:personList xmlns:xltc="http://schemas.microsoft.com/office/spreadsheetml/2018/threadedcomments">
  <xltc:person displayName="Codex" id="{A16E1746-1EBC-4B60-84B1-633EF9E0DCF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6-30T12:15:38.191" personId="{A16E1746-1EBC-4B60-84B1-633EF9E0DCF3}" id="{8F736B44-03BC-E6F2-8B52-5EA86F7EEAAF}">
    <xltc:text>Source: user prompt on 2026-06-30. Initial stated capital assumption.</xltc:text>
  </xltc:threadedComment>
  <xltc:threadedComment ref="B8" dT="2026-06-30T12:15:38.191" personId="{A16E1746-1EBC-4B60-84B1-633EF9E0DCF3}" id="{FAEAE01B-720A-03C8-F492-4F2901E935D4}">
    <xltc:text>Assumption: IP/technology transfer is not modeled as equity consideration by default.</xltc:text>
  </xltc:threadedComment>
  <xltc:threadedComment ref="B9" dT="2026-06-30T12:15:38.191" personId="{A16E1746-1EBC-4B60-84B1-633EF9E0DCF3}" id="{CCC5532B-5557-A951-7EFE-B5D4A0CFBFA4}">
    <xltc:text>Source: user prompt on 2026-06-30. Planned common-share financing amount.</xltc:text>
  </xltc:threadedComment>
  <xltc:threadedComment ref="B10" dT="2026-06-30T12:15:38.191" personId="{A16E1746-1EBC-4B60-84B1-633EF9E0DCF3}" id="{9EA35F1E-E993-539F-C69F-D3A74A5DD167}">
    <xltc:text>Source: user prompt on 2026-06-30. Target investor ownership around 8%.</xltc:text>
  </xltc:threadedComment>
  <xltc:threadedComment ref="B11" dT="2026-06-30T12:15:38.191" personId="{A16E1746-1EBC-4B60-84B1-633EF9E0DCF3}" id="{3EF62220-405C-6B8F-1623-3873607F7BF7}">
    <xltc:text>Assumption: 10% option pool included for planning. Adjust to match hiring plan and investor negotiation.</xltc:text>
  </xltc:threadedComment>
  <xltc:threadedComment ref="B12" dT="2026-06-30T12:15:38.191" personId="{A16E1746-1EBC-4B60-84B1-633EF9E0DCF3}" id="{0E8AA32D-CCB4-84C9-015B-0635C57D9487}">
    <xltc:text>Model toggle. After SO pool means the investor target is measured after creating the option pool.</xltc:text>
  </xltc:threadedComment>
  <xltc:threadedComment ref="B24" dT="2026-06-30T12:15:38.191" personId="{A16E1746-1EBC-4B60-84B1-633EF9E0DCF3}" id="{7331D1DE-A486-592E-D728-616EFD4BD6DD}">
    <xltc:text>Assumption: net cash bridge for valuation. Replace with actual cash, debt, and financing fees when available.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ff03c1bf4314c62" /><Relationship Type="http://schemas.openxmlformats.org/officeDocument/2006/relationships/vmlDrawing" Target="/xl/drawings/vmldrawing.vml" Id="R457695cd7b8343c7" /><Relationship Type="http://schemas.microsoft.com/office/2017/10/relationships/threadedComment" Target="/xl/threadedcomments/threadedcomment.xml" Id="Rc551958d61424e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19999313354492" hidden="0" customWidth="1"/>
    <x:col min="2" max="2" width="16.670000076293945" hidden="0" customWidth="1"/>
    <x:col min="3" max="3" width="16.670000076293945" hidden="0" customWidth="1"/>
    <x:col min="4" max="4" width="18.329999923706055" hidden="0" customWidth="1"/>
    <x:col min="5" max="5" width="18.329999923706055" hidden="0" customWidth="1"/>
    <x:col min="6" max="6" width="21.110000610351562" hidden="0" customWidth="1"/>
    <x:col min="7" max="7" width="20" hidden="0" customWidth="1"/>
    <x:col min="8" max="8" width="28.889999389648438" hidden="0" customWidth="1"/>
  </x:cols>
  <x:sheetData>
    <x:row r="1" ht="16.799999237060547" hidden="0" customHeight="1">
      <x:c r="A1" s="166" t="str">
        <x:v>Kairos Capital Policy &amp; Valuation Simulator</x:v>
      </x:c>
      <x:c r="B1" s="166" t="str">
        <x:v>Kairos Capital Policy &amp; Valuation Simulator</x:v>
      </x:c>
      <x:c r="C1" s="166" t="str">
        <x:v>Kairos Capital Policy &amp; Valuation Simulator</x:v>
      </x:c>
      <x:c r="D1" s="166" t="str">
        <x:v>Kairos Capital Policy &amp; Valuation Simulator</x:v>
      </x:c>
      <x:c r="E1" s="166" t="str">
        <x:v>Kairos Capital Policy &amp; Valuation Simulator</x:v>
      </x:c>
      <x:c r="F1" s="166" t="str">
        <x:v>Kairos Capital Policy &amp; Valuation Simulator</x:v>
      </x:c>
      <x:c r="G1" s="166" t="str">
        <x:v>Kairos Capital Policy &amp; Valuation Simulator</x:v>
      </x:c>
      <x:c r="H1" s="166" t="str">
        <x:v>Kairos Capital Policy &amp; Valuation Simulator</x:v>
      </x:c>
      <x:c r="I1" s="167"/>
      <x:c r="J1" s="167"/>
      <x:c r="K1" s="167"/>
      <x:c r="L1" s="167"/>
      <x:c r="M1" s="167"/>
      <x:c r="N1" s="167"/>
      <x:c r="O1" s="167"/>
    </x:row>
    <x:row r="2" ht="15" hidden="0" customHeight="1">
      <x:c r="A2" s="167"/>
      <x:c r="B2" s="167"/>
      <x:c r="C2" s="167"/>
      <x:c r="D2" s="167"/>
      <x:c r="E2" s="167"/>
      <x:c r="F2" s="167"/>
      <x:c r="G2" s="167"/>
      <x:c r="H2" s="167"/>
      <x:c r="I2" s="167"/>
      <x:c r="J2" s="167"/>
      <x:c r="K2" s="167"/>
      <x:c r="L2" s="167"/>
      <x:c r="M2" s="167"/>
      <x:c r="N2" s="167"/>
      <x:c r="O2" s="167"/>
    </x:row>
    <x:row r="3" ht="15" hidden="0" customHeight="1">
      <x:c r="A3" s="168" t="str">
        <x:v>Version</x:v>
      </x:c>
      <x:c r="B3" s="169" t="str">
        <x:v>2026-06-30</x:v>
      </x:c>
      <x:c r="C3" s="169" t="str">
        <x:v>Scenario</x:v>
      </x:c>
      <x:c r="D3" s="169" t="str">
        <x:v>Base / illustrative</x:v>
      </x:c>
      <x:c r="E3" s="169" t="str">
        <x:v>Currency</x:v>
      </x:c>
      <x:c r="F3" s="169" t="str">
        <x:v>JPY actual</x:v>
      </x:c>
      <x:c r="G3" s="169" t="str">
        <x:v>Status</x:v>
      </x:c>
      <x:c r="H3" s="170" t="str">
        <x:f>'Checks'!F13</x:f>
        <x:v>PASS</x:v>
      </x:c>
      <x:c r="I3" s="167"/>
      <x:c r="J3" s="167"/>
      <x:c r="K3" s="167"/>
      <x:c r="L3" s="167"/>
      <x:c r="M3" s="167"/>
      <x:c r="N3" s="167"/>
      <x:c r="O3" s="167"/>
    </x:row>
    <x:row r="4" ht="15" hidden="0" customHeight="1">
      <x:c r="A4" s="167"/>
      <x:c r="B4" s="167"/>
      <x:c r="C4" s="167"/>
      <x:c r="D4" s="167"/>
      <x:c r="E4" s="167"/>
      <x:c r="F4" s="167"/>
      <x:c r="G4" s="167"/>
      <x:c r="H4" s="167"/>
      <x:c r="I4" s="167"/>
      <x:c r="J4" s="167"/>
      <x:c r="K4" s="167"/>
      <x:c r="L4" s="167"/>
      <x:c r="M4" s="167"/>
      <x:c r="N4" s="167"/>
      <x:c r="O4" s="167"/>
    </x:row>
    <x:row r="5" ht="15" hidden="0" customHeight="1">
      <x:c r="A5" s="171" t="str">
        <x:v>Key Financing Outputs</x:v>
      </x:c>
      <x:c r="B5" s="171" t="str">
        <x:v>Key Financing Outputs</x:v>
      </x:c>
      <x:c r="C5" s="171" t="str">
        <x:v>Key Financing Outputs</x:v>
      </x:c>
      <x:c r="D5" s="171" t="str">
        <x:v>Key Financing Outputs</x:v>
      </x:c>
      <x:c r="E5" s="171" t="str">
        <x:v>Key Financing Outputs</x:v>
      </x:c>
      <x:c r="F5" s="167"/>
      <x:c r="G5" s="167"/>
      <x:c r="H5" s="167"/>
      <x:c r="I5" s="167"/>
      <x:c r="J5" s="167"/>
      <x:c r="K5" s="167"/>
      <x:c r="L5" s="167"/>
      <x:c r="M5" s="167"/>
      <x:c r="N5" s="167"/>
      <x:c r="O5" s="167"/>
    </x:row>
    <x:row r="6" ht="15" hidden="0" customHeight="1">
      <x:c r="A6" s="168" t="str">
        <x:v>Metric</x:v>
      </x:c>
      <x:c r="B6" s="169" t="str">
        <x:v>Value</x:v>
      </x:c>
      <x:c r="C6" s="169" t="str">
        <x:v>Units</x:v>
      </x:c>
      <x:c r="D6" s="169" t="str">
        <x:v>Formula source</x:v>
      </x:c>
      <x:c r="E6" s="170" t="str">
        <x:v>Notes</x:v>
      </x:c>
      <x:c r="F6" s="167"/>
      <x:c r="G6" s="167"/>
      <x:c r="H6" s="167"/>
      <x:c r="I6" s="167"/>
      <x:c r="J6" s="167"/>
      <x:c r="K6" s="167"/>
      <x:c r="L6" s="167"/>
      <x:c r="M6" s="167"/>
      <x:c r="N6" s="167"/>
      <x:c r="O6" s="167"/>
    </x:row>
    <x:row r="7" ht="15" hidden="0" customHeight="1">
      <x:c r="A7" s="167" t="str">
        <x:v>Seed post-money valuation</x:v>
      </x:c>
      <x:c r="B7" s="172" t="n">
        <x:f>'Cap Table'!C8</x:f>
        <x:v>1250000000</x:v>
      </x:c>
      <x:c r="C7" s="167" t="str">
        <x:v>JPY</x:v>
      </x:c>
      <x:c r="D7" s="167" t="str">
        <x:v>Cap Table</x:v>
      </x:c>
      <x:c r="E7" s="167" t="str">
        <x:v>Fully diluted after selected SO-pool treatment</x:v>
      </x:c>
      <x:c r="F7" s="167"/>
      <x:c r="G7" s="167"/>
      <x:c r="H7" s="167"/>
      <x:c r="I7" s="167"/>
      <x:c r="J7" s="167"/>
      <x:c r="K7" s="167"/>
      <x:c r="L7" s="167"/>
      <x:c r="M7" s="167"/>
      <x:c r="N7" s="167"/>
      <x:c r="O7" s="167"/>
    </x:row>
    <x:row r="8" ht="15" hidden="0" customHeight="1">
      <x:c r="A8" s="167" t="str">
        <x:v>Seed pre-money valuation</x:v>
      </x:c>
      <x:c r="B8" s="173" t="n">
        <x:f>'Cap Table'!C7</x:f>
        <x:v>1150000000</x:v>
      </x:c>
      <x:c r="C8" s="167" t="str">
        <x:v>JPY</x:v>
      </x:c>
      <x:c r="D8" s="167" t="str">
        <x:v>Cap Table</x:v>
      </x:c>
      <x:c r="E8" s="167" t="str">
        <x:v>Post-money minus investment on FD basis</x:v>
      </x:c>
      <x:c r="F8" s="167"/>
      <x:c r="G8" s="167"/>
      <x:c r="H8" s="167"/>
      <x:c r="I8" s="167"/>
      <x:c r="J8" s="167"/>
      <x:c r="K8" s="167"/>
      <x:c r="L8" s="167"/>
      <x:c r="M8" s="167"/>
      <x:c r="N8" s="167"/>
      <x:c r="O8" s="167"/>
    </x:row>
    <x:row r="9" ht="15" hidden="0" customHeight="1">
      <x:c r="A9" s="167" t="str">
        <x:v>Seed price per share</x:v>
      </x:c>
      <x:c r="B9" s="174" t="n">
        <x:f>'Cap Table'!C6</x:f>
        <x:v>1025</x:v>
      </x:c>
      <x:c r="C9" s="167" t="str">
        <x:v>JPY/share</x:v>
      </x:c>
      <x:c r="D9" s="167" t="str">
        <x:v>Cap Table</x:v>
      </x:c>
      <x:c r="E9" s="167" t="str"/>
      <x:c r="F9" s="167"/>
      <x:c r="G9" s="167"/>
      <x:c r="H9" s="167"/>
      <x:c r="I9" s="167"/>
      <x:c r="J9" s="167"/>
      <x:c r="K9" s="167"/>
      <x:c r="L9" s="167"/>
      <x:c r="M9" s="167"/>
      <x:c r="N9" s="167"/>
      <x:c r="O9" s="167"/>
    </x:row>
    <x:row r="10" ht="15" hidden="0" customHeight="1">
      <x:c r="A10" s="167" t="str">
        <x:v>Founder ownership after Seed</x:v>
      </x:c>
      <x:c r="B10" s="175" t="n">
        <x:f>'Cap Table'!C31</x:f>
        <x:v>0.8200000000000001</x:v>
      </x:c>
      <x:c r="C10" s="167" t="str">
        <x:v>%</x:v>
      </x:c>
      <x:c r="D10" s="167" t="str">
        <x:v>Cap Table</x:v>
      </x:c>
      <x:c r="E10" s="167" t="str"/>
      <x:c r="F10" s="167"/>
      <x:c r="G10" s="167"/>
      <x:c r="H10" s="167"/>
      <x:c r="I10" s="167"/>
      <x:c r="J10" s="167"/>
      <x:c r="K10" s="167"/>
      <x:c r="L10" s="167"/>
      <x:c r="M10" s="167"/>
      <x:c r="N10" s="167"/>
      <x:c r="O10" s="167"/>
    </x:row>
    <x:row r="11" ht="15" hidden="0" customHeight="1">
      <x:c r="A11" s="167" t="str">
        <x:v>Investor ownership after Seed</x:v>
      </x:c>
      <x:c r="B11" s="175" t="n">
        <x:f>'Cap Table'!C32</x:f>
        <x:v>0.08</x:v>
      </x:c>
      <x:c r="C11" s="167" t="str">
        <x:v>%</x:v>
      </x:c>
      <x:c r="D11" s="167" t="str">
        <x:v>Cap Table</x:v>
      </x:c>
      <x:c r="E11" s="167" t="str"/>
      <x:c r="F11" s="167"/>
      <x:c r="G11" s="167"/>
      <x:c r="H11" s="167"/>
      <x:c r="I11" s="167"/>
      <x:c r="J11" s="167"/>
      <x:c r="K11" s="167"/>
      <x:c r="L11" s="167"/>
      <x:c r="M11" s="167"/>
      <x:c r="N11" s="167"/>
      <x:c r="O11" s="167"/>
    </x:row>
    <x:row r="12" ht="15" hidden="0" customHeight="1">
      <x:c r="A12" s="167" t="str">
        <x:v>SO pool after Seed</x:v>
      </x:c>
      <x:c r="B12" s="175" t="n">
        <x:f>'Cap Table'!C35</x:f>
        <x:v>0.09999999999999999</x:v>
      </x:c>
      <x:c r="C12" s="167" t="str">
        <x:v>%</x:v>
      </x:c>
      <x:c r="D12" s="167" t="str">
        <x:v>Cap Table</x:v>
      </x:c>
      <x:c r="E12" s="167" t="str"/>
      <x:c r="F12" s="167"/>
      <x:c r="G12" s="167"/>
      <x:c r="H12" s="167"/>
      <x:c r="I12" s="167"/>
      <x:c r="J12" s="167"/>
      <x:c r="K12" s="167"/>
      <x:c r="L12" s="167"/>
      <x:c r="M12" s="167"/>
      <x:c r="N12" s="167"/>
      <x:c r="O12" s="167"/>
    </x:row>
    <x:row r="13" ht="15" hidden="0" customHeight="1">
      <x:c r="A13" s="167" t="str">
        <x:v>Stated capital after Seed</x:v>
      </x:c>
      <x:c r="B13" s="173" t="n">
        <x:f>'Cap Table'!C14</x:f>
        <x:v>51000000</x:v>
      </x:c>
      <x:c r="C13" s="167" t="str">
        <x:v>JPY</x:v>
      </x:c>
      <x:c r="D13" s="167" t="str">
        <x:v>Cap Table</x:v>
      </x:c>
      <x:c r="E13" s="167" t="str">
        <x:v>Assumes capitalization ratio from Inputs</x:v>
      </x:c>
      <x:c r="F13" s="167"/>
      <x:c r="G13" s="167"/>
      <x:c r="H13" s="167"/>
      <x:c r="I13" s="167"/>
      <x:c r="J13" s="167"/>
      <x:c r="K13" s="167"/>
      <x:c r="L13" s="167"/>
      <x:c r="M13" s="167"/>
      <x:c r="N13" s="167"/>
      <x:c r="O13" s="167"/>
    </x:row>
    <x:row r="14" ht="15" hidden="0" customHeight="1">
      <x:c r="A14" s="167" t="str">
        <x:v>Post-Seed capital threshold</x:v>
      </x:c>
      <x:c r="B14" s="176" t="str">
        <x:f>'Cap Table'!C41</x:f>
        <x:v>Over 50M</x:v>
      </x:c>
      <x:c r="C14" s="167" t="str">
        <x:v>flag</x:v>
      </x:c>
      <x:c r="D14" s="167" t="str">
        <x:v>Cap Table</x:v>
      </x:c>
      <x:c r="E14" s="167" t="str">
        <x:v>50M threshold flag only; confirm tax treatment</x:v>
      </x:c>
      <x:c r="F14" s="167"/>
      <x:c r="G14" s="167"/>
      <x:c r="H14" s="167"/>
      <x:c r="I14" s="167"/>
      <x:c r="J14" s="167"/>
      <x:c r="K14" s="167"/>
      <x:c r="L14" s="167"/>
      <x:c r="M14" s="167"/>
      <x:c r="N14" s="167"/>
      <x:c r="O14" s="167"/>
    </x:row>
    <x:row r="15" ht="15" hidden="0" customHeight="1">
      <x:c r="A15" s="167"/>
      <x:c r="B15" s="167"/>
      <x:c r="C15" s="167"/>
      <x:c r="D15" s="167"/>
      <x:c r="E15" s="167"/>
      <x:c r="F15" s="167"/>
      <x:c r="G15" s="167"/>
      <x:c r="H15" s="167"/>
      <x:c r="I15" s="167"/>
      <x:c r="J15" s="167"/>
      <x:c r="K15" s="167"/>
      <x:c r="L15" s="167"/>
      <x:c r="M15" s="167"/>
      <x:c r="N15" s="167"/>
      <x:c r="O15" s="167"/>
    </x:row>
    <x:row r="16" ht="15" hidden="0" customHeight="1">
      <x:c r="A16" s="167"/>
      <x:c r="B16" s="167"/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</x:row>
    <x:row r="17" ht="15" hidden="0" customHeight="1">
      <x:c r="A17" s="171" t="str">
        <x:v>Base Case Valuation Snapshot</x:v>
      </x:c>
      <x:c r="B17" s="171" t="str">
        <x:v>Base Case Valuation Snapshot</x:v>
      </x:c>
      <x:c r="C17" s="171" t="str">
        <x:v>Base Case Valuation Snapshot</x:v>
      </x:c>
      <x:c r="D17" s="171" t="str">
        <x:v>Base Case Valuation Snapshot</x:v>
      </x:c>
      <x:c r="E17" s="171" t="str">
        <x:v>Base Case Valuation Snapshot</x:v>
      </x:c>
      <x:c r="F17" s="171" t="str">
        <x:v>Base Case Valuation Snapshot</x:v>
      </x:c>
      <x:c r="G17" s="171" t="str">
        <x:v>Base Case Valuation Snapshot</x:v>
      </x:c>
      <x:c r="H17" s="167"/>
      <x:c r="I17" s="167"/>
      <x:c r="J17" s="167"/>
      <x:c r="K17" s="167"/>
      <x:c r="L17" s="167"/>
      <x:c r="M17" s="167"/>
      <x:c r="N17" s="167"/>
      <x:c r="O17" s="167"/>
    </x:row>
    <x:row r="18" ht="15" hidden="0" customHeight="1">
      <x:c r="A18" s="168" t="str">
        <x:v>Year</x:v>
      </x:c>
      <x:c r="B18" s="169" t="str">
        <x:v>Revenue</x:v>
      </x:c>
      <x:c r="C18" s="169" t="str">
        <x:v>Profit margin</x:v>
      </x:c>
      <x:c r="D18" s="169" t="str">
        <x:v>Equity value</x:v>
      </x:c>
      <x:c r="E18" s="169" t="str">
        <x:v>Implied PSR</x:v>
      </x:c>
      <x:c r="F18" s="169" t="str">
        <x:v>Implied profit multiple</x:v>
      </x:c>
      <x:c r="G18" s="170" t="str">
        <x:v>1億 investment ownership</x:v>
      </x:c>
      <x:c r="H18" s="167"/>
      <x:c r="I18" s="167"/>
      <x:c r="J18" s="167"/>
      <x:c r="K18" s="167"/>
      <x:c r="L18" s="167"/>
      <x:c r="M18" s="167"/>
      <x:c r="N18" s="167"/>
      <x:c r="O18" s="167"/>
    </x:row>
    <x:row r="19" ht="15" hidden="0" customHeight="1">
      <x:c r="A19" s="177" t="n">
        <x:f>'Valuation Sim'!B17</x:f>
        <x:v>2027</x:v>
      </x:c>
      <x:c r="B19" s="178" t="n">
        <x:f>'Valuation Sim'!C17</x:f>
        <x:v>50000000</x:v>
      </x:c>
      <x:c r="C19" s="179" t="n">
        <x:f>'Valuation Sim'!D17</x:f>
        <x:v>0</x:v>
      </x:c>
      <x:c r="D19" s="178" t="n">
        <x:f>'Valuation Sim'!L17</x:f>
        <x:v>500000000</x:v>
      </x:c>
      <x:c r="E19" s="180" t="n">
        <x:f>D19/B19</x:f>
        <x:v>10</x:v>
      </x:c>
      <x:c r="F19" s="180" t="str">
        <x:f>IF('Valuation Sim'!E17&gt;0,D19/'Valuation Sim'!E17,"n.m.")</x:f>
        <x:v>n.m.</x:v>
      </x:c>
      <x:c r="G19" s="181" t="n">
        <x:f>'Valuation Sim'!O17</x:f>
        <x:v>0.16666666666666666</x:v>
      </x:c>
      <x:c r="H19" s="167"/>
      <x:c r="I19" s="167"/>
      <x:c r="J19" s="167"/>
      <x:c r="K19" s="167"/>
      <x:c r="L19" s="167"/>
      <x:c r="M19" s="167"/>
      <x:c r="N19" s="167"/>
      <x:c r="O19" s="167"/>
    </x:row>
    <x:row r="20" ht="15" hidden="0" customHeight="1">
      <x:c r="A20" s="182" t="n">
        <x:f>'Valuation Sim'!B18</x:f>
        <x:v>2028</x:v>
      </x:c>
      <x:c r="B20" s="183" t="n">
        <x:f>'Valuation Sim'!C18</x:f>
        <x:v>150000000</x:v>
      </x:c>
      <x:c r="C20" s="184" t="n">
        <x:f>'Valuation Sim'!D18</x:f>
        <x:v>0.1</x:v>
      </x:c>
      <x:c r="D20" s="183" t="n">
        <x:f>'Valuation Sim'!L18</x:f>
        <x:v>850000000</x:v>
      </x:c>
      <x:c r="E20" s="185" t="n">
        <x:f>D20/B20</x:f>
        <x:v>5.666666666666667</x:v>
      </x:c>
      <x:c r="F20" s="185" t="n">
        <x:f>IF('Valuation Sim'!E18&gt;0,D20/'Valuation Sim'!E18,"n.m.")</x:f>
        <x:v>56.666666666666664</x:v>
      </x:c>
      <x:c r="G20" s="186" t="n">
        <x:f>'Valuation Sim'!O18</x:f>
        <x:v>0.10526315789473684</x:v>
      </x:c>
      <x:c r="H20" s="167"/>
      <x:c r="I20" s="167"/>
      <x:c r="J20" s="167"/>
      <x:c r="K20" s="167"/>
      <x:c r="L20" s="167"/>
      <x:c r="M20" s="167"/>
      <x:c r="N20" s="167"/>
      <x:c r="O20" s="167"/>
    </x:row>
    <x:row r="21" ht="15" hidden="0" customHeight="1">
      <x:c r="A21" s="182" t="n">
        <x:f>'Valuation Sim'!B19</x:f>
        <x:v>2029</x:v>
      </x:c>
      <x:c r="B21" s="183" t="n">
        <x:f>'Valuation Sim'!C19</x:f>
        <x:v>400000000</x:v>
      </x:c>
      <x:c r="C21" s="184" t="n">
        <x:f>'Valuation Sim'!D19</x:f>
        <x:v>0.2</x:v>
      </x:c>
      <x:c r="D21" s="183" t="n">
        <x:f>'Valuation Sim'!L19</x:f>
        <x:v>2500000000</x:v>
      </x:c>
      <x:c r="E21" s="185" t="n">
        <x:f>D21/B21</x:f>
        <x:v>6.25</x:v>
      </x:c>
      <x:c r="F21" s="185" t="n">
        <x:f>IF('Valuation Sim'!E19&gt;0,D21/'Valuation Sim'!E19,"n.m.")</x:f>
        <x:v>31.25</x:v>
      </x:c>
      <x:c r="G21" s="186" t="n">
        <x:f>'Valuation Sim'!O19</x:f>
        <x:v>0.038461538461538464</x:v>
      </x:c>
      <x:c r="H21" s="167"/>
      <x:c r="I21" s="167"/>
      <x:c r="J21" s="167"/>
      <x:c r="K21" s="167"/>
      <x:c r="L21" s="167"/>
      <x:c r="M21" s="167"/>
      <x:c r="N21" s="167"/>
      <x:c r="O21" s="167"/>
    </x:row>
    <x:row r="22" ht="15" hidden="0" customHeight="1">
      <x:c r="A22" s="187" t="n">
        <x:f>'Valuation Sim'!B20</x:f>
        <x:v>2030</x:v>
      </x:c>
      <x:c r="B22" s="188" t="n">
        <x:f>'Valuation Sim'!C20</x:f>
        <x:v>800000000</x:v>
      </x:c>
      <x:c r="C22" s="189" t="n">
        <x:f>'Valuation Sim'!D20</x:f>
        <x:v>0.3</x:v>
      </x:c>
      <x:c r="D22" s="188" t="n">
        <x:f>'Valuation Sim'!L20</x:f>
        <x:v>5700000000</x:v>
      </x:c>
      <x:c r="E22" s="190" t="n">
        <x:f>D22/B22</x:f>
        <x:v>7.125</x:v>
      </x:c>
      <x:c r="F22" s="190" t="n">
        <x:f>IF('Valuation Sim'!E20&gt;0,D22/'Valuation Sim'!E20,"n.m.")</x:f>
        <x:v>23.75</x:v>
      </x:c>
      <x:c r="G22" s="191" t="n">
        <x:f>'Valuation Sim'!O20</x:f>
        <x:v>0.017241379310344827</x:v>
      </x:c>
      <x:c r="H22" s="167"/>
      <x:c r="I22" s="167"/>
      <x:c r="J22" s="167"/>
      <x:c r="K22" s="167"/>
      <x:c r="L22" s="167"/>
      <x:c r="M22" s="167"/>
      <x:c r="N22" s="167"/>
      <x:c r="O22" s="167"/>
    </x:row>
    <x:row r="23" ht="15" hidden="0" customHeight="1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</x:row>
    <x:row r="24" ht="15" hidden="0" customHeight="1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</x:row>
    <x:row r="25" ht="15" hidden="0" customHeight="1">
      <x:c r="A25" s="192" t="str">
        <x:v>How to use</x:v>
      </x:c>
      <x:c r="B25" s="193" t="str"/>
      <x:c r="C25" s="193" t="str"/>
      <x:c r="D25" s="193" t="str"/>
      <x:c r="E25" s="193" t="str"/>
      <x:c r="F25" s="193" t="str"/>
      <x:c r="G25" s="193" t="str"/>
      <x:c r="H25" s="194" t="str"/>
      <x:c r="I25" s="167"/>
      <x:c r="J25" s="167"/>
      <x:c r="K25" s="167"/>
      <x:c r="L25" s="167"/>
      <x:c r="M25" s="167"/>
      <x:c r="N25" s="167"/>
      <x:c r="O25" s="167"/>
    </x:row>
    <x:row r="26" ht="15" hidden="0" customHeight="1">
      <x:c r="A26" s="195" t="str">
        <x:v>1. Edit yellow/blue input cells on the Inputs sheet.</x:v>
      </x:c>
      <x:c r="B26" s="196" t="str"/>
      <x:c r="C26" s="196" t="str"/>
      <x:c r="D26" s="196" t="str"/>
      <x:c r="E26" s="196" t="str"/>
      <x:c r="F26" s="196" t="str"/>
      <x:c r="G26" s="196" t="str"/>
      <x:c r="H26" s="197" t="str"/>
      <x:c r="I26" s="167"/>
      <x:c r="J26" s="167"/>
      <x:c r="K26" s="167"/>
      <x:c r="L26" s="167"/>
      <x:c r="M26" s="167"/>
      <x:c r="N26" s="167"/>
      <x:c r="O26" s="167"/>
    </x:row>
    <x:row r="27" ht="15" hidden="0" customHeight="1">
      <x:c r="A27" s="195" t="str">
        <x:v>2. Review dilution and share counts on Cap Table.</x:v>
      </x:c>
      <x:c r="B27" s="196" t="str"/>
      <x:c r="C27" s="196" t="str"/>
      <x:c r="D27" s="196" t="str"/>
      <x:c r="E27" s="196" t="str"/>
      <x:c r="F27" s="196" t="str"/>
      <x:c r="G27" s="196" t="str"/>
      <x:c r="H27" s="197" t="str"/>
      <x:c r="I27" s="167"/>
      <x:c r="J27" s="167"/>
      <x:c r="K27" s="167"/>
      <x:c r="L27" s="167"/>
      <x:c r="M27" s="167"/>
      <x:c r="N27" s="167"/>
      <x:c r="O27" s="167"/>
    </x:row>
    <x:row r="28" ht="15" hidden="0" customHeight="1">
      <x:c r="A28" s="195" t="str">
        <x:v>3. Use Valuation Sim and Scenarios to compare PSR, profit multiple, and investment ownership.</x:v>
      </x:c>
      <x:c r="B28" s="196" t="str"/>
      <x:c r="C28" s="196" t="str"/>
      <x:c r="D28" s="196" t="str"/>
      <x:c r="E28" s="196" t="str"/>
      <x:c r="F28" s="196" t="str"/>
      <x:c r="G28" s="196" t="str"/>
      <x:c r="H28" s="197" t="str"/>
      <x:c r="I28" s="167"/>
      <x:c r="J28" s="167"/>
      <x:c r="K28" s="167"/>
      <x:c r="L28" s="167"/>
      <x:c r="M28" s="167"/>
      <x:c r="N28" s="167"/>
      <x:c r="O28" s="167"/>
    </x:row>
    <x:row r="29" ht="15" hidden="0" customHeight="1">
      <x:c r="A29" s="198" t="str">
        <x:v>4. Check the Checks sheet before relying on the model.</x:v>
      </x:c>
      <x:c r="B29" s="199" t="str"/>
      <x:c r="C29" s="199" t="str"/>
      <x:c r="D29" s="199" t="str"/>
      <x:c r="E29" s="199" t="str"/>
      <x:c r="F29" s="199" t="str"/>
      <x:c r="G29" s="199" t="str"/>
      <x:c r="H29" s="200" t="str"/>
      <x:c r="I29" s="167"/>
      <x:c r="J29" s="167"/>
      <x:c r="K29" s="167"/>
      <x:c r="L29" s="167"/>
      <x:c r="M29" s="167"/>
      <x:c r="N29" s="167"/>
      <x:c r="O29" s="167"/>
    </x:row>
    <x:row r="30" ht="15" hidden="0" customHeight="1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</x:row>
    <x:row r="31" ht="15" hidden="0" customHeight="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</x:row>
    <x:row r="32" ht="15" hidden="0" customHeight="1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</x:row>
    <x:row r="33" ht="15" hidden="0" customHeight="1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</x:row>
    <x:row r="34" ht="15" hidden="0" customHeight="1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</x:row>
    <x:row r="35" ht="15" hidden="0" customHeight="1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</x:row>
    <x:row r="36" ht="15" hidden="0" customHeight="1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</x:row>
    <x:row r="37" ht="15" hidden="0" customHeight="1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</x:row>
    <x:row r="38" ht="15" hidden="0" customHeight="1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</x:row>
    <x:row r="39" ht="15" hidden="0" customHeight="1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</x:row>
    <x:row r="40" ht="15" hidden="0" customHeight="1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</x:row>
    <x:row r="41" ht="15" hidden="0" customHeight="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</x:row>
    <x:row r="42" ht="15" hidden="0" customHeight="1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</x:row>
    <x:row r="43" ht="15" hidden="0" customHeight="1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</x:row>
    <x:row r="44" ht="15" hidden="0" customHeight="1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</x:row>
    <x:row r="45" ht="15" hidden="0" customHeight="1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</x:row>
    <x:row r="46" ht="15" hidden="0" customHeight="1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</x:row>
    <x:row r="47" ht="15" hidden="0" customHeight="1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</x:row>
    <x:row r="48" ht="15" hidden="0" customHeight="1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</x:row>
    <x:row r="49" ht="15" hidden="0" customHeight="1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</x:row>
    <x:row r="50" ht="15" hidden="0" customHeight="1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</x:row>
    <x:row r="51" ht="15" hidden="0" customHeight="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</x:row>
    <x:row r="52" ht="15" hidden="0" customHeight="1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</x:row>
    <x:row r="53" ht="15" hidden="0" customHeight="1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</x:row>
    <x:row r="54" ht="15" hidden="0" customHeight="1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</x:row>
    <x:row r="55" ht="15" hidden="0" customHeight="1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</x:row>
    <x:row r="56" ht="15" hidden="0" customHeight="1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</x:row>
    <x:row r="57" ht="15" hidden="0" customHeight="1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</x:row>
    <x:row r="58" ht="15" hidden="0" customHeight="1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</x:row>
    <x:row r="59" ht="15" hidden="0" customHeight="1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</x:row>
    <x:row r="60" ht="15" hidden="0" customHeight="1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</x:row>
    <x:row r="61" ht="15" hidden="0" customHeight="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</x:row>
    <x:row r="62" ht="15" hidden="0" customHeight="1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</x:row>
    <x:row r="63" ht="15" hidden="0" customHeight="1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</x:row>
    <x:row r="64" ht="15" hidden="0" customHeight="1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</x:row>
    <x:row r="65" ht="15" hidden="0" customHeight="1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</x:row>
    <x:row r="66" ht="15" hidden="0" customHeight="1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</x:row>
    <x:row r="67" ht="15" hidden="0" customHeight="1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</x:row>
    <x:row r="68" ht="15" hidden="0" customHeight="1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</x:row>
    <x:row r="69" ht="15" hidden="0" customHeight="1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</x:row>
    <x:row r="70" ht="15" hidden="0" customHeight="1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</x:row>
    <x:row r="71" ht="15" hidden="0" customHeight="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</x:row>
    <x:row r="72" ht="15" hidden="0" customHeight="1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</x:row>
    <x:row r="73" ht="15" hidden="0" customHeight="1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</x:row>
    <x:row r="74" ht="15" hidden="0" customHeight="1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</x:row>
    <x:row r="75" ht="15" hidden="0" customHeight="1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</x:row>
    <x:row r="76" ht="15" hidden="0" customHeight="1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</x:row>
    <x:row r="77" ht="15" hidden="0" customHeight="1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</x:row>
    <x:row r="78" ht="15" hidden="0" customHeight="1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</x:row>
    <x:row r="79" ht="15" hidden="0" customHeight="1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</x:row>
    <x:row r="80" ht="15" hidden="0" customHeight="1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</x:row>
    <x:row r="81" ht="15" hidden="0" customHeight="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</x:row>
    <x:row r="82" ht="15" hidden="0" customHeight="1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</x:row>
    <x:row r="83" ht="15" hidden="0" customHeight="1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</x:row>
    <x:row r="84" ht="15" hidden="0" customHeight="1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</x:row>
    <x:row r="85" ht="15" hidden="0" customHeight="1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</x:row>
    <x:row r="86" ht="15" hidden="0" customHeight="1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</x:row>
    <x:row r="87" ht="15" hidden="0" customHeight="1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</x:row>
    <x:row r="88" ht="15" hidden="0" customHeight="1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</x:row>
    <x:row r="89" ht="15" hidden="0" customHeight="1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</x:row>
    <x:row r="90" ht="15" hidden="0" customHeight="1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</x:row>
    <x:row r="91" ht="15" hidden="0" customHeight="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</x:row>
    <x:row r="92" ht="15" hidden="0" customHeight="1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</x:row>
    <x:row r="93" ht="15" hidden="0" customHeight="1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</x:row>
    <x:row r="94" ht="15" hidden="0" customHeight="1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</x:row>
    <x:row r="95" ht="15" hidden="0" customHeight="1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</x:row>
    <x:row r="96" ht="15" hidden="0" customHeight="1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</x:row>
    <x:row r="97" ht="15" hidden="0" customHeight="1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</x:row>
    <x:row r="98" ht="15" hidden="0" customHeight="1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</x:row>
    <x:row r="99" ht="15" hidden="0" customHeight="1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</x:row>
    <x:row r="100" ht="15" hidden="0" customHeight="1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</x:row>
    <x:row r="101" ht="15" hidden="0" customHeight="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</x:row>
    <x:row r="102" ht="15" hidden="0" customHeight="1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</x:row>
    <x:row r="103" ht="15" hidden="0" customHeight="1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</x:row>
    <x:row r="104" ht="15" hidden="0" customHeight="1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</x:row>
    <x:row r="105" ht="15" hidden="0" customHeight="1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</x:row>
    <x:row r="106" ht="15" hidden="0" customHeight="1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</x:row>
    <x:row r="107" ht="15" hidden="0" customHeight="1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</x:row>
    <x:row r="108" ht="15" hidden="0" customHeight="1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</x:row>
    <x:row r="109" ht="15" hidden="0" customHeight="1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</x:row>
    <x:row r="110" ht="15" hidden="0" customHeight="1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</x:row>
    <x:row r="111" ht="15" hidden="0" customHeight="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</x:row>
    <x:row r="112" ht="15" hidden="0" customHeight="1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</x:row>
    <x:row r="113" ht="15" hidden="0" customHeight="1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</x:row>
    <x:row r="114" ht="15" hidden="0" customHeight="1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</x:row>
    <x:row r="115" ht="15" hidden="0" customHeight="1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</x:row>
    <x:row r="116" ht="15" hidden="0" customHeight="1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</x:row>
    <x:row r="117" ht="15" hidden="0" customHeight="1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</x:row>
    <x:row r="118" ht="15" hidden="0" customHeight="1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</x:row>
    <x:row r="119" ht="15" hidden="0" customHeight="1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</x:row>
    <x:row r="120" ht="15" hidden="0" customHeight="1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</x:row>
  </x:sheetData>
  <x:mergeCells>
    <x:mergeCell ref="A1:H1"/>
    <x:mergeCell ref="A5:E5"/>
    <x:mergeCell ref="A17:G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.889999389648438" hidden="0" customWidth="1"/>
    <x:col min="3" max="3" width="11.109999656677246" hidden="0" customWidth="1"/>
    <x:col min="4" max="4" width="50" hidden="0" customWidth="1"/>
    <x:col min="5" max="5" width="12.220000267028809" hidden="0" customWidth="1"/>
    <x:col min="6" max="6" width="12.220000267028809" hidden="0" customWidth="1"/>
  </x:cols>
  <x:sheetData>
    <x:row r="1" ht="16.799999237060547" hidden="0" customHeight="1">
      <x:c r="A1" s="166" t="str">
        <x:v>Kairos Capital Policy &amp; Valuation Simulator - Inputs</x:v>
      </x:c>
      <x:c r="B1" s="166" t="str">
        <x:v>Kairos Capital Policy &amp; Valuation Simulator - Inputs</x:v>
      </x:c>
      <x:c r="C1" s="166" t="str">
        <x:v>Kairos Capital Policy &amp; Valuation Simulator - Inputs</x:v>
      </x:c>
      <x:c r="D1" s="166" t="str">
        <x:v>Kairos Capital Policy &amp; Valuation Simulator - Inputs</x:v>
      </x:c>
      <x:c r="E1" s="166" t="str">
        <x:v>Kairos Capital Policy &amp; Valuation Simulator - Inputs</x:v>
      </x:c>
      <x:c r="F1" s="166" t="str">
        <x:v>Kairos Capital Policy &amp; Valuation Simulator - Inputs</x:v>
      </x:c>
      <x:c r="G1" s="167"/>
      <x:c r="H1" s="167"/>
      <x:c r="I1" s="167"/>
      <x:c r="J1" s="167"/>
      <x:c r="K1" s="167"/>
      <x:c r="L1" s="167"/>
      <x:c r="M1" s="167"/>
      <x:c r="N1" s="167"/>
      <x:c r="O1" s="167"/>
    </x:row>
    <x:row r="2" ht="15" hidden="0" customHeight="1">
      <x:c r="A2" s="167"/>
      <x:c r="B2" s="167"/>
      <x:c r="C2" s="167"/>
      <x:c r="D2" s="167"/>
      <x:c r="E2" s="167"/>
      <x:c r="F2" s="167"/>
      <x:c r="G2" s="167"/>
      <x:c r="H2" s="167"/>
      <x:c r="I2" s="167"/>
      <x:c r="J2" s="167"/>
      <x:c r="K2" s="167"/>
      <x:c r="L2" s="167"/>
      <x:c r="M2" s="167"/>
      <x:c r="N2" s="167"/>
      <x:c r="O2" s="167"/>
    </x:row>
    <x:row r="3" ht="15" hidden="0" customHeight="1">
      <x:c r="A3" s="171" t="str">
        <x:v>Capital Policy Assumptions</x:v>
      </x:c>
      <x:c r="B3" s="171" t="str">
        <x:v>Capital Policy Assumptions</x:v>
      </x:c>
      <x:c r="C3" s="171" t="str">
        <x:v>Capital Policy Assumptions</x:v>
      </x:c>
      <x:c r="D3" s="171" t="str">
        <x:v>Capital Policy Assumptions</x:v>
      </x:c>
      <x:c r="E3" s="167"/>
      <x:c r="F3" s="167"/>
      <x:c r="G3" s="167"/>
      <x:c r="H3" s="167"/>
      <x:c r="I3" s="167"/>
      <x:c r="J3" s="167"/>
      <x:c r="K3" s="167"/>
      <x:c r="L3" s="167"/>
      <x:c r="M3" s="167"/>
      <x:c r="N3" s="167"/>
      <x:c r="O3" s="167"/>
    </x:row>
    <x:row r="4" ht="15" hidden="0" customHeight="1">
      <x:c r="A4" s="168" t="str">
        <x:v>Input</x:v>
      </x:c>
      <x:c r="B4" s="169" t="str">
        <x:v>Value</x:v>
      </x:c>
      <x:c r="C4" s="169" t="str">
        <x:v>Units</x:v>
      </x:c>
      <x:c r="D4" s="170" t="str">
        <x:v>Notes</x:v>
      </x:c>
      <x:c r="E4" s="167"/>
      <x:c r="F4" s="167"/>
      <x:c r="G4" s="167"/>
      <x:c r="H4" s="167"/>
      <x:c r="I4" s="167"/>
      <x:c r="J4" s="167"/>
      <x:c r="K4" s="167"/>
      <x:c r="L4" s="167"/>
      <x:c r="M4" s="167"/>
      <x:c r="N4" s="167"/>
      <x:c r="O4" s="167"/>
    </x:row>
    <x:row r="5" ht="15" hidden="0" customHeight="1">
      <x:c r="A5" s="167" t="str">
        <x:v>Initial stated capital</x:v>
      </x:c>
      <x:c r="B5" s="201" t="n">
        <x:v>1000000</x:v>
      </x:c>
      <x:c r="C5" s="167" t="str">
        <x:v>JPY</x:v>
      </x:c>
      <x:c r="D5" s="167" t="str">
        <x:v>User-provided starting capital</x:v>
      </x:c>
      <x:c r="E5" s="167"/>
      <x:c r="F5" s="167"/>
      <x:c r="G5" s="167"/>
      <x:c r="H5" s="167"/>
      <x:c r="I5" s="167"/>
      <x:c r="J5" s="167"/>
      <x:c r="K5" s="167"/>
      <x:c r="L5" s="167"/>
      <x:c r="M5" s="167"/>
      <x:c r="N5" s="167"/>
      <x:c r="O5" s="167"/>
    </x:row>
    <x:row r="6" ht="15" hidden="0" customHeight="1">
      <x:c r="A6" s="167" t="str">
        <x:v>Founder initial shares</x:v>
      </x:c>
      <x:c r="B6" s="202" t="n">
        <x:v>1000000</x:v>
      </x:c>
      <x:c r="C6" s="167" t="str">
        <x:v>shares</x:v>
      </x:c>
      <x:c r="D6" s="167" t="str">
        <x:v>Illustrative share count; change freely</x:v>
      </x:c>
      <x:c r="E6" s="167"/>
      <x:c r="F6" s="167"/>
      <x:c r="G6" s="167"/>
      <x:c r="H6" s="167"/>
      <x:c r="I6" s="167"/>
      <x:c r="J6" s="167"/>
      <x:c r="K6" s="167"/>
      <x:c r="L6" s="167"/>
      <x:c r="M6" s="167"/>
      <x:c r="N6" s="167"/>
      <x:c r="O6" s="167"/>
    </x:row>
    <x:row r="7" ht="15" hidden="0" customHeight="1">
      <x:c r="A7" s="167" t="str">
        <x:v>Initial price per share</x:v>
      </x:c>
      <x:c r="B7" s="203" t="n">
        <x:f>B5/B6</x:f>
        <x:v>1</x:v>
      </x:c>
      <x:c r="C7" s="167" t="str">
        <x:v>JPY/share</x:v>
      </x:c>
      <x:c r="D7" s="167" t="str">
        <x:v>Calculated</x:v>
      </x:c>
      <x:c r="E7" s="167"/>
      <x:c r="F7" s="167"/>
      <x:c r="G7" s="167"/>
      <x:c r="H7" s="167"/>
      <x:c r="I7" s="167"/>
      <x:c r="J7" s="167"/>
      <x:c r="K7" s="167"/>
      <x:c r="L7" s="167"/>
      <x:c r="M7" s="167"/>
      <x:c r="N7" s="167"/>
      <x:c r="O7" s="167"/>
    </x:row>
    <x:row r="8" ht="15" hidden="0" customHeight="1">
      <x:c r="A8" s="167" t="str">
        <x:v>Founder IP/technology transfer value included in equity</x:v>
      </x:c>
      <x:c r="B8" s="201" t="n">
        <x:v>0</x:v>
      </x:c>
      <x:c r="C8" s="167" t="str">
        <x:v>JPY</x:v>
      </x:c>
      <x:c r="D8" s="167" t="str">
        <x:v>Default keeps IP transfer separate from equity issuance</x:v>
      </x:c>
      <x:c r="E8" s="167"/>
      <x:c r="F8" s="167"/>
      <x:c r="G8" s="167"/>
      <x:c r="H8" s="167"/>
      <x:c r="I8" s="167"/>
      <x:c r="J8" s="167"/>
      <x:c r="K8" s="167"/>
      <x:c r="L8" s="167"/>
      <x:c r="M8" s="167"/>
      <x:c r="N8" s="167"/>
      <x:c r="O8" s="167"/>
    </x:row>
    <x:row r="9" ht="15" hidden="0" customHeight="1">
      <x:c r="A9" s="167" t="str">
        <x:v>Seed investment amount</x:v>
      </x:c>
      <x:c r="B9" s="204" t="n">
        <x:v>100000000</x:v>
      </x:c>
      <x:c r="C9" s="167" t="str">
        <x:v>JPY</x:v>
      </x:c>
      <x:c r="D9" s="167" t="str">
        <x:v>User-provided planned financing</x:v>
      </x:c>
      <x:c r="E9" s="167"/>
      <x:c r="F9" s="167"/>
      <x:c r="G9" s="167"/>
      <x:c r="H9" s="167"/>
      <x:c r="I9" s="167"/>
      <x:c r="J9" s="167"/>
      <x:c r="K9" s="167"/>
      <x:c r="L9" s="167"/>
      <x:c r="M9" s="167"/>
      <x:c r="N9" s="167"/>
      <x:c r="O9" s="167"/>
    </x:row>
    <x:row r="10" ht="15" hidden="0" customHeight="1">
      <x:c r="A10" s="167" t="str">
        <x:v>Seed investor target ownership</x:v>
      </x:c>
      <x:c r="B10" s="205" t="n">
        <x:v>0.08</x:v>
      </x:c>
      <x:c r="C10" s="167" t="str">
        <x:v>%</x:v>
      </x:c>
      <x:c r="D10" s="167" t="str">
        <x:v>Default: approx. 8%</x:v>
      </x:c>
      <x:c r="E10" s="167"/>
      <x:c r="F10" s="167"/>
      <x:c r="G10" s="167"/>
      <x:c r="H10" s="167"/>
      <x:c r="I10" s="167"/>
      <x:c r="J10" s="167"/>
      <x:c r="K10" s="167"/>
      <x:c r="L10" s="167"/>
      <x:c r="M10" s="167"/>
      <x:c r="N10" s="167"/>
      <x:c r="O10" s="167"/>
    </x:row>
    <x:row r="11" ht="15" hidden="0" customHeight="1">
      <x:c r="A11" s="167" t="str">
        <x:v>SO pool target after Seed</x:v>
      </x:c>
      <x:c r="B11" s="205" t="n">
        <x:v>0.1</x:v>
      </x:c>
      <x:c r="C11" s="167" t="str">
        <x:v>%</x:v>
      </x:c>
      <x:c r="D11" s="167" t="str">
        <x:v>Default: 10% post-Seed pool</x:v>
      </x:c>
      <x:c r="E11" s="167"/>
      <x:c r="F11" s="167"/>
      <x:c r="G11" s="167"/>
      <x:c r="H11" s="167"/>
      <x:c r="I11" s="167"/>
      <x:c r="J11" s="167"/>
      <x:c r="K11" s="167"/>
      <x:c r="L11" s="167"/>
      <x:c r="M11" s="167"/>
      <x:c r="N11" s="167"/>
      <x:c r="O11" s="167"/>
    </x:row>
    <x:row r="12" ht="15" hidden="0" customHeight="1">
      <x:c r="A12" s="167" t="str">
        <x:v>Seed ownership basis</x:v>
      </x:c>
      <x:c r="B12" s="206" t="str">
        <x:v>After SO pool</x:v>
      </x:c>
      <x:c r="C12" s="167" t="str">
        <x:v>toggle</x:v>
      </x:c>
      <x:c r="D12" s="167" t="str">
        <x:v>After SO pool keeps investor at target after pool creation</x:v>
      </x:c>
      <x:c r="E12" s="167"/>
      <x:c r="F12" s="167"/>
      <x:c r="G12" s="167"/>
      <x:c r="H12" s="167"/>
      <x:c r="I12" s="167"/>
      <x:c r="J12" s="167"/>
      <x:c r="K12" s="167"/>
      <x:c r="L12" s="167"/>
      <x:c r="M12" s="167"/>
      <x:c r="N12" s="167"/>
      <x:c r="O12" s="167"/>
    </x:row>
    <x:row r="13" ht="15" hidden="0" customHeight="1">
      <x:c r="A13" s="167" t="str">
        <x:v>Capitalization ratio of new money</x:v>
      </x:c>
      <x:c r="B13" s="207" t="n">
        <x:v>0.5</x:v>
      </x:c>
      <x:c r="C13" s="167" t="str">
        <x:v>%</x:v>
      </x:c>
      <x:c r="D13" s="167" t="str">
        <x:v>Illustrative minimum capitalized portion if half goes to capital reserve</x:v>
      </x:c>
      <x:c r="E13" s="167"/>
      <x:c r="F13" s="167"/>
      <x:c r="G13" s="167"/>
      <x:c r="H13" s="167"/>
      <x:c r="I13" s="167"/>
      <x:c r="J13" s="167"/>
      <x:c r="K13" s="167"/>
      <x:c r="L13" s="167"/>
      <x:c r="M13" s="167"/>
      <x:c r="N13" s="167"/>
      <x:c r="O13" s="167"/>
    </x:row>
    <x:row r="14" ht="15" hidden="0" customHeight="1">
      <x:c r="A14" s="167"/>
      <x:c r="B14" s="167"/>
      <x:c r="C14" s="167"/>
      <x:c r="D14" s="167"/>
      <x:c r="E14" s="167"/>
      <x:c r="F14" s="167"/>
      <x:c r="G14" s="167"/>
      <x:c r="H14" s="167"/>
      <x:c r="I14" s="167"/>
      <x:c r="J14" s="167"/>
      <x:c r="K14" s="167"/>
      <x:c r="L14" s="167"/>
      <x:c r="M14" s="167"/>
      <x:c r="N14" s="167"/>
      <x:c r="O14" s="167"/>
    </x:row>
    <x:row r="15" ht="15" hidden="0" customHeight="1">
      <x:c r="A15" s="171" t="str">
        <x:v>Future Round Assumptions</x:v>
      </x:c>
      <x:c r="B15" s="171" t="str">
        <x:v>Future Round Assumptions</x:v>
      </x:c>
      <x:c r="C15" s="171" t="str">
        <x:v>Future Round Assumptions</x:v>
      </x:c>
      <x:c r="D15" s="171" t="str">
        <x:v>Future Round Assumptions</x:v>
      </x:c>
      <x:c r="E15" s="167"/>
      <x:c r="F15" s="167"/>
      <x:c r="G15" s="167"/>
      <x:c r="H15" s="167"/>
      <x:c r="I15" s="167"/>
      <x:c r="J15" s="167"/>
      <x:c r="K15" s="167"/>
      <x:c r="L15" s="167"/>
      <x:c r="M15" s="167"/>
      <x:c r="N15" s="167"/>
      <x:c r="O15" s="167"/>
    </x:row>
    <x:row r="16" ht="15" hidden="0" customHeight="1">
      <x:c r="A16" s="167" t="str">
        <x:v>Series A investment amount</x:v>
      </x:c>
      <x:c r="B16" s="201" t="n">
        <x:v>300000000</x:v>
      </x:c>
      <x:c r="C16" s="167" t="str">
        <x:v>JPY</x:v>
      </x:c>
      <x:c r="D16" s="167" t="str">
        <x:v>Illustrative future round</x:v>
      </x:c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</x:row>
    <x:row r="17" ht="15" hidden="0" customHeight="1">
      <x:c r="A17" s="167" t="str">
        <x:v>Series A investor target ownership</x:v>
      </x:c>
      <x:c r="B17" s="205" t="n">
        <x:v>0.15</x:v>
      </x:c>
      <x:c r="C17" s="167" t="str">
        <x:v>%</x:v>
      </x:c>
      <x:c r="D17" s="167" t="str">
        <x:v>Post-round target</x:v>
      </x:c>
      <x:c r="E17" s="167"/>
      <x:c r="F17" s="167"/>
      <x:c r="G17" s="167"/>
      <x:c r="H17" s="167"/>
      <x:c r="I17" s="167"/>
      <x:c r="J17" s="167"/>
      <x:c r="K17" s="167"/>
      <x:c r="L17" s="167"/>
      <x:c r="M17" s="167"/>
      <x:c r="N17" s="167"/>
      <x:c r="O17" s="167"/>
    </x:row>
    <x:row r="18" ht="15" hidden="0" customHeight="1">
      <x:c r="A18" s="167" t="str">
        <x:v>SO pool target after Series A</x:v>
      </x:c>
      <x:c r="B18" s="205" t="n">
        <x:v>0.12</x:v>
      </x:c>
      <x:c r="C18" s="167" t="str">
        <x:v>%</x:v>
      </x:c>
      <x:c r="D18" s="167" t="str">
        <x:v>Total pool target after round</x:v>
      </x:c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  <x:c r="O18" s="167"/>
    </x:row>
    <x:row r="19" ht="15" hidden="0" customHeight="1">
      <x:c r="A19" s="167" t="str">
        <x:v>Series B investment amount</x:v>
      </x:c>
      <x:c r="B19" s="204" t="n">
        <x:v>800000000</x:v>
      </x:c>
      <x:c r="C19" s="167" t="str">
        <x:v>JPY</x:v>
      </x:c>
      <x:c r="D19" s="167" t="str">
        <x:v>Illustrative future round</x:v>
      </x:c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</x:row>
    <x:row r="20" ht="15" hidden="0" customHeight="1">
      <x:c r="A20" s="167" t="str">
        <x:v>Series B investor target ownership</x:v>
      </x:c>
      <x:c r="B20" s="205" t="n">
        <x:v>0.15</x:v>
      </x:c>
      <x:c r="C20" s="167" t="str">
        <x:v>%</x:v>
      </x:c>
      <x:c r="D20" s="167" t="str">
        <x:v>Post-round target</x:v>
      </x:c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</x:row>
    <x:row r="21" ht="15" hidden="0" customHeight="1">
      <x:c r="A21" s="167" t="str">
        <x:v>SO pool target after Series B</x:v>
      </x:c>
      <x:c r="B21" s="207" t="n">
        <x:v>0.1</x:v>
      </x:c>
      <x:c r="C21" s="167" t="str">
        <x:v>%</x:v>
      </x:c>
      <x:c r="D21" s="167" t="str">
        <x:v>Total pool target after round</x:v>
      </x:c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</x:row>
    <x:row r="22" ht="15" hidden="0" customHeight="1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</x:row>
    <x:row r="23" ht="15" hidden="0" customHeight="1">
      <x:c r="A23" s="171" t="str">
        <x:v>Valuation Simulation Assumptions</x:v>
      </x:c>
      <x:c r="B23" s="171" t="str">
        <x:v>Valuation Simulation Assumptions</x:v>
      </x:c>
      <x:c r="C23" s="171" t="str">
        <x:v>Valuation Simulation Assumptions</x:v>
      </x:c>
      <x:c r="D23" s="171" t="str">
        <x:v>Valuation Simulation Assumptions</x:v>
      </x:c>
      <x:c r="E23" s="171" t="str">
        <x:v>Valuation Simulation Assumptions</x:v>
      </x:c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</x:row>
    <x:row r="24" ht="15" hidden="0" customHeight="1">
      <x:c r="A24" s="167" t="str">
        <x:v>Net cash / (debt) used in equity value bridge</x:v>
      </x:c>
      <x:c r="B24" s="201" t="n">
        <x:v>100000000</x:v>
      </x:c>
      <x:c r="C24" s="167" t="str">
        <x:v>JPY</x:v>
      </x:c>
      <x:c r="D24" s="167" t="str">
        <x:v>Positive = net cash; negative = net debt</x:v>
      </x:c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</x:row>
    <x:row r="25" ht="15" hidden="0" customHeight="1">
      <x:c r="A25" s="167" t="str">
        <x:v>Revenue multiple valuation weight</x:v>
      </x:c>
      <x:c r="B25" s="205" t="n">
        <x:v>0.5</x:v>
      </x:c>
      <x:c r="C25" s="167" t="str">
        <x:v>%</x:v>
      </x:c>
      <x:c r="D25" s="167" t="str">
        <x:v>Blended EV = weighted PSR EV + weighted profit-multiple EV</x:v>
      </x:c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</x:row>
    <x:row r="26" ht="15" hidden="0" customHeight="1">
      <x:c r="A26" s="167" t="str">
        <x:v>Selected share count basis</x:v>
      </x:c>
      <x:c r="B26" s="206" t="str">
        <x:v>Post-Seed</x:v>
      </x:c>
      <x:c r="C26" s="167" t="str">
        <x:v>toggle</x:v>
      </x:c>
      <x:c r="D26" s="167" t="str">
        <x:v>Used for implied price per share</x:v>
      </x:c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</x:row>
    <x:row r="27" ht="15" hidden="0" customHeight="1">
      <x:c r="A27" s="167" t="str">
        <x:v>Valuation basis</x:v>
      </x:c>
      <x:c r="B27" s="206" t="str">
        <x:v>Pre-money operating value</x:v>
      </x:c>
      <x:c r="C27" s="167" t="str">
        <x:v>memo</x:v>
      </x:c>
      <x:c r="D27" s="167" t="str">
        <x:v>1億円 ownership uses Investment / (Equity Value + Investment)</x:v>
      </x:c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</x:row>
    <x:row r="28" ht="15" hidden="0" customHeight="1">
      <x:c r="A28" s="167" t="str">
        <x:v>Currency / unit</x:v>
      </x:c>
      <x:c r="B28" s="208" t="str">
        <x:v>JPY actual</x:v>
      </x:c>
      <x:c r="C28" s="167" t="str">
        <x:v>memo</x:v>
      </x:c>
      <x:c r="D28" s="167" t="str">
        <x:v>All monetary values are in JPY, not millions</x:v>
      </x:c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</x:row>
    <x:row r="29" ht="15" hidden="0" customHeight="1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</x:row>
    <x:row r="30" ht="15" hidden="0" customHeight="1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</x:row>
    <x:row r="31" ht="15" hidden="0" customHeight="1">
      <x:c r="A31" s="168" t="str">
        <x:v>Case</x:v>
      </x:c>
      <x:c r="B31" s="169" t="str">
        <x:v>PSR / Revenue multiple</x:v>
      </x:c>
      <x:c r="C31" s="170" t="str">
        <x:v>Profit multiple</x:v>
      </x:c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</x:row>
    <x:row r="32" ht="15" hidden="0" customHeight="1">
      <x:c r="A32" s="167" t="str">
        <x:v>Low</x:v>
      </x:c>
      <x:c r="B32" s="209" t="n">
        <x:v>5</x:v>
      </x:c>
      <x:c r="C32" s="210" t="n">
        <x:v>15</x:v>
      </x:c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</x:row>
    <x:row r="33" ht="15" hidden="0" customHeight="1">
      <x:c r="A33" s="167" t="str">
        <x:v>Base</x:v>
      </x:c>
      <x:c r="B33" s="211" t="n">
        <x:v>8</x:v>
      </x:c>
      <x:c r="C33" s="212" t="n">
        <x:v>20</x:v>
      </x:c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</x:row>
    <x:row r="34" ht="15" hidden="0" customHeight="1">
      <x:c r="A34" s="167" t="str">
        <x:v>High</x:v>
      </x:c>
      <x:c r="B34" s="213" t="n">
        <x:v>12</x:v>
      </x:c>
      <x:c r="C34" s="214" t="n">
        <x:v>30</x:v>
      </x:c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</x:row>
    <x:row r="35" ht="15" hidden="0" customHeight="1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</x:row>
    <x:row r="36" ht="15" hidden="0" customHeight="1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</x:row>
    <x:row r="37" ht="15" hidden="0" customHeight="1">
      <x:c r="A37" s="168" t="str">
        <x:v>Forecast year</x:v>
      </x:c>
      <x:c r="B37" s="169" t="str">
        <x:v>Revenue</x:v>
      </x:c>
      <x:c r="C37" s="169" t="str">
        <x:v>Profit margin</x:v>
      </x:c>
      <x:c r="D37" s="170" t="str">
        <x:v>Operating profit</x:v>
      </x:c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</x:row>
    <x:row r="38" ht="15" hidden="0" customHeight="1">
      <x:c r="A38" s="215" t="n">
        <x:v>2027</x:v>
      </x:c>
      <x:c r="B38" s="216" t="n">
        <x:v>50000000</x:v>
      </x:c>
      <x:c r="C38" s="217" t="n">
        <x:v>0</x:v>
      </x:c>
      <x:c r="D38" s="172" t="n">
        <x:f>B38*C38</x:f>
        <x:v>0</x:v>
      </x:c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</x:row>
    <x:row r="39" ht="15" hidden="0" customHeight="1">
      <x:c r="A39" s="218" t="n">
        <x:v>2028</x:v>
      </x:c>
      <x:c r="B39" s="219" t="n">
        <x:v>150000000</x:v>
      </x:c>
      <x:c r="C39" s="220" t="n">
        <x:v>0.1</x:v>
      </x:c>
      <x:c r="D39" s="173" t="n">
        <x:f>B39*C39</x:f>
        <x:v>15000000</x:v>
      </x:c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</x:row>
    <x:row r="40" ht="15" hidden="0" customHeight="1">
      <x:c r="A40" s="218" t="n">
        <x:v>2029</x:v>
      </x:c>
      <x:c r="B40" s="219" t="n">
        <x:v>400000000</x:v>
      </x:c>
      <x:c r="C40" s="220" t="n">
        <x:v>0.2</x:v>
      </x:c>
      <x:c r="D40" s="173" t="n">
        <x:f>B40*C40</x:f>
        <x:v>80000000</x:v>
      </x:c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</x:row>
    <x:row r="41" ht="15" hidden="0" customHeight="1">
      <x:c r="A41" s="221" t="n">
        <x:v>2030</x:v>
      </x:c>
      <x:c r="B41" s="222" t="n">
        <x:v>800000000</x:v>
      </x:c>
      <x:c r="C41" s="223" t="n">
        <x:v>0.3</x:v>
      </x:c>
      <x:c r="D41" s="224" t="n">
        <x:f>B41*C41</x:f>
        <x:v>240000000</x:v>
      </x:c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</x:row>
    <x:row r="42" ht="15" hidden="0" customHeight="1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</x:row>
    <x:row r="43" ht="15" hidden="0" customHeight="1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</x:row>
    <x:row r="44" ht="15" hidden="0" customHeight="1">
      <x:c r="A44" s="168" t="str">
        <x:v>Legend</x:v>
      </x:c>
      <x:c r="B44" s="169" t="str">
        <x:v>Style</x:v>
      </x:c>
      <x:c r="C44" s="169" t="str">
        <x:v>Meaning</x:v>
      </x:c>
      <x:c r="D44" s="170" t="str">
        <x:v>Notes</x:v>
      </x:c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</x:row>
    <x:row r="45" ht="15" hidden="0" customHeight="1">
      <x:c r="A45" s="192" t="str">
        <x:v>Input</x:v>
      </x:c>
      <x:c r="B45" s="193" t="str">
        <x:v>Blue text / yellow fill</x:v>
      </x:c>
      <x:c r="C45" s="193" t="str">
        <x:v>Editable assumption</x:v>
      </x:c>
      <x:c r="D45" s="194" t="str">
        <x:v>Change these cells to simulate</x:v>
      </x:c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</x:row>
    <x:row r="46" ht="15" hidden="0" customHeight="1">
      <x:c r="A46" s="195" t="str">
        <x:v>Formula</x:v>
      </x:c>
      <x:c r="B46" s="196" t="str">
        <x:v>Black text</x:v>
      </x:c>
      <x:c r="C46" s="196" t="str">
        <x:v>Calculated output</x:v>
      </x:c>
      <x:c r="D46" s="197" t="str">
        <x:v>Do not hardcode unless intentionally changing the model</x:v>
      </x:c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</x:row>
    <x:row r="47" ht="15" hidden="0" customHeight="1">
      <x:c r="A47" s="198" t="str">
        <x:v>Source</x:v>
      </x:c>
      <x:c r="B47" s="199" t="str">
        <x:v>Sources sheet</x:v>
      </x:c>
      <x:c r="C47" s="199" t="str">
        <x:v>Assumptions/audit trail</x:v>
      </x:c>
      <x:c r="D47" s="200" t="str">
        <x:v>User-provided and illustrative inputs only</x:v>
      </x:c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</x:row>
    <x:row r="48" ht="15" hidden="0" customHeight="1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</x:row>
    <x:row r="49" ht="15" hidden="0" customHeight="1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</x:row>
    <x:row r="50" ht="15" hidden="0" customHeight="1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</x:row>
    <x:row r="51" ht="15" hidden="0" customHeight="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</x:row>
    <x:row r="52" ht="15" hidden="0" customHeight="1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</x:row>
    <x:row r="53" ht="15" hidden="0" customHeight="1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</x:row>
    <x:row r="54" ht="15" hidden="0" customHeight="1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</x:row>
    <x:row r="55" ht="15" hidden="0" customHeight="1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</x:row>
    <x:row r="56" ht="15" hidden="0" customHeight="1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</x:row>
    <x:row r="57" ht="15" hidden="0" customHeight="1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</x:row>
    <x:row r="58" ht="15" hidden="0" customHeight="1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</x:row>
    <x:row r="59" ht="15" hidden="0" customHeight="1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</x:row>
    <x:row r="60" ht="15" hidden="0" customHeight="1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</x:row>
    <x:row r="61" ht="15" hidden="0" customHeight="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</x:row>
    <x:row r="62" ht="15" hidden="0" customHeight="1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</x:row>
    <x:row r="63" ht="15" hidden="0" customHeight="1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</x:row>
    <x:row r="64" ht="15" hidden="0" customHeight="1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</x:row>
    <x:row r="65" ht="15" hidden="0" customHeight="1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</x:row>
    <x:row r="66" ht="15" hidden="0" customHeight="1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</x:row>
    <x:row r="67" ht="15" hidden="0" customHeight="1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</x:row>
    <x:row r="68" ht="15" hidden="0" customHeight="1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</x:row>
    <x:row r="69" ht="15" hidden="0" customHeight="1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</x:row>
    <x:row r="70" ht="15" hidden="0" customHeight="1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</x:row>
    <x:row r="71" ht="15" hidden="0" customHeight="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</x:row>
    <x:row r="72" ht="15" hidden="0" customHeight="1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</x:row>
    <x:row r="73" ht="15" hidden="0" customHeight="1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</x:row>
    <x:row r="74" ht="15" hidden="0" customHeight="1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</x:row>
    <x:row r="75" ht="15" hidden="0" customHeight="1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</x:row>
    <x:row r="76" ht="15" hidden="0" customHeight="1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</x:row>
    <x:row r="77" ht="15" hidden="0" customHeight="1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</x:row>
    <x:row r="78" ht="15" hidden="0" customHeight="1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</x:row>
    <x:row r="79" ht="15" hidden="0" customHeight="1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</x:row>
    <x:row r="80" ht="15" hidden="0" customHeight="1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</x:row>
    <x:row r="81" ht="15" hidden="0" customHeight="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</x:row>
    <x:row r="82" ht="15" hidden="0" customHeight="1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</x:row>
    <x:row r="83" ht="15" hidden="0" customHeight="1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</x:row>
    <x:row r="84" ht="15" hidden="0" customHeight="1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</x:row>
    <x:row r="85" ht="15" hidden="0" customHeight="1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</x:row>
    <x:row r="86" ht="15" hidden="0" customHeight="1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</x:row>
    <x:row r="87" ht="15" hidden="0" customHeight="1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</x:row>
    <x:row r="88" ht="15" hidden="0" customHeight="1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</x:row>
    <x:row r="89" ht="15" hidden="0" customHeight="1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</x:row>
    <x:row r="90" ht="15" hidden="0" customHeight="1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</x:row>
    <x:row r="91" ht="15" hidden="0" customHeight="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</x:row>
    <x:row r="92" ht="15" hidden="0" customHeight="1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</x:row>
    <x:row r="93" ht="15" hidden="0" customHeight="1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</x:row>
    <x:row r="94" ht="15" hidden="0" customHeight="1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</x:row>
    <x:row r="95" ht="15" hidden="0" customHeight="1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</x:row>
    <x:row r="96" ht="15" hidden="0" customHeight="1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</x:row>
    <x:row r="97" ht="15" hidden="0" customHeight="1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</x:row>
    <x:row r="98" ht="15" hidden="0" customHeight="1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</x:row>
    <x:row r="99" ht="15" hidden="0" customHeight="1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</x:row>
    <x:row r="100" ht="15" hidden="0" customHeight="1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</x:row>
    <x:row r="101" ht="15" hidden="0" customHeight="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</x:row>
    <x:row r="102" ht="15" hidden="0" customHeight="1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</x:row>
    <x:row r="103" ht="15" hidden="0" customHeight="1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</x:row>
    <x:row r="104" ht="15" hidden="0" customHeight="1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</x:row>
    <x:row r="105" ht="15" hidden="0" customHeight="1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</x:row>
    <x:row r="106" ht="15" hidden="0" customHeight="1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</x:row>
    <x:row r="107" ht="15" hidden="0" customHeight="1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</x:row>
    <x:row r="108" ht="15" hidden="0" customHeight="1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</x:row>
    <x:row r="109" ht="15" hidden="0" customHeight="1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</x:row>
    <x:row r="110" ht="15" hidden="0" customHeight="1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</x:row>
    <x:row r="111" ht="15" hidden="0" customHeight="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</x:row>
    <x:row r="112" ht="15" hidden="0" customHeight="1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</x:row>
    <x:row r="113" ht="15" hidden="0" customHeight="1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</x:row>
    <x:row r="114" ht="15" hidden="0" customHeight="1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</x:row>
    <x:row r="115" ht="15" hidden="0" customHeight="1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</x:row>
    <x:row r="116" ht="15" hidden="0" customHeight="1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</x:row>
    <x:row r="117" ht="15" hidden="0" customHeight="1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</x:row>
    <x:row r="118" ht="15" hidden="0" customHeight="1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</x:row>
    <x:row r="119" ht="15" hidden="0" customHeight="1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</x:row>
    <x:row r="120" ht="15" hidden="0" customHeight="1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</x:row>
  </x:sheetData>
  <x:mergeCells>
    <x:mergeCell ref="A1:F1"/>
    <x:mergeCell ref="A3:D3"/>
    <x:mergeCell ref="A15:D15"/>
    <x:mergeCell ref="A23:E23"/>
  </x:mergeCells>
  <x:dataValidations count="2">
    <x:dataValidation type="list" sqref="B12">
      <x:formula1>"After SO pool,Before SO pool"</x:formula1>
    </x:dataValidation>
    <x:dataValidation type="list" sqref="B26">
      <x:formula1>"Post-Seed,Post-A,Post-B"</x:formula1>
    </x:dataValidation>
  </x:dataValidations>
  <x:pageMargins left="0.7" right="0.7" top="0.75" bottom="0.75" header="0.3" footer="0.3"/>
  <x:legacyDrawing xmlns:r="http://schemas.openxmlformats.org/officeDocument/2006/relationships" r:id="R457695cd7b8343c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110000610351562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46.66999816894531" hidden="0" customWidth="1"/>
  </x:cols>
  <x:sheetData>
    <x:row r="1" ht="16.799999237060547" hidden="0" customHeight="1">
      <x:c r="A1" s="166" t="str">
        <x:v>Capital Policy / Cap Table</x:v>
      </x:c>
      <x:c r="B1" s="166" t="str">
        <x:v>Capital Policy / Cap Table</x:v>
      </x:c>
      <x:c r="C1" s="166" t="str">
        <x:v>Capital Policy / Cap Table</x:v>
      </x:c>
      <x:c r="D1" s="166" t="str">
        <x:v>Capital Policy / Cap Table</x:v>
      </x:c>
      <x:c r="E1" s="166" t="str">
        <x:v>Capital Policy / Cap Table</x:v>
      </x:c>
      <x:c r="F1" s="166" t="str">
        <x:v>Capital Policy / Cap Table</x:v>
      </x:c>
      <x:c r="G1" s="167"/>
      <x:c r="H1" s="167"/>
      <x:c r="I1" s="167"/>
      <x:c r="J1" s="167"/>
      <x:c r="K1" s="167"/>
      <x:c r="L1" s="167"/>
      <x:c r="M1" s="167"/>
      <x:c r="N1" s="167"/>
      <x:c r="O1" s="167"/>
    </x:row>
    <x:row r="2" ht="15" hidden="0" customHeight="1">
      <x:c r="A2" s="167"/>
      <x:c r="B2" s="167"/>
      <x:c r="C2" s="167"/>
      <x:c r="D2" s="167"/>
      <x:c r="E2" s="167"/>
      <x:c r="F2" s="167"/>
      <x:c r="G2" s="167"/>
      <x:c r="H2" s="167"/>
      <x:c r="I2" s="167"/>
      <x:c r="J2" s="167"/>
      <x:c r="K2" s="167"/>
      <x:c r="L2" s="167"/>
      <x:c r="M2" s="167"/>
      <x:c r="N2" s="167"/>
      <x:c r="O2" s="167"/>
    </x:row>
    <x:row r="3" ht="15" hidden="0" customHeight="1">
      <x:c r="A3" s="171" t="str">
        <x:v>Round Summary</x:v>
      </x:c>
      <x:c r="B3" s="171" t="str">
        <x:v>Round Summary</x:v>
      </x:c>
      <x:c r="C3" s="171" t="str">
        <x:v>Round Summary</x:v>
      </x:c>
      <x:c r="D3" s="171" t="str">
        <x:v>Round Summary</x:v>
      </x:c>
      <x:c r="E3" s="171" t="str">
        <x:v>Round Summary</x:v>
      </x:c>
      <x:c r="F3" s="171" t="str">
        <x:v>Round Summary</x:v>
      </x:c>
      <x:c r="G3" s="167"/>
      <x:c r="H3" s="167"/>
      <x:c r="I3" s="167"/>
      <x:c r="J3" s="167"/>
      <x:c r="K3" s="167"/>
      <x:c r="L3" s="167"/>
      <x:c r="M3" s="167"/>
      <x:c r="N3" s="167"/>
      <x:c r="O3" s="167"/>
    </x:row>
    <x:row r="4" ht="15" hidden="0" customHeight="1">
      <x:c r="A4" s="168" t="str">
        <x:v>Metric</x:v>
      </x:c>
      <x:c r="B4" s="169" t="str">
        <x:v>Initial</x:v>
      </x:c>
      <x:c r="C4" s="169" t="str">
        <x:v>Post-Seed</x:v>
      </x:c>
      <x:c r="D4" s="169" t="str">
        <x:v>Post-A</x:v>
      </x:c>
      <x:c r="E4" s="169" t="str">
        <x:v>Post-B</x:v>
      </x:c>
      <x:c r="F4" s="170" t="str">
        <x:v>Notes</x:v>
      </x:c>
      <x:c r="G4" s="167"/>
      <x:c r="H4" s="167"/>
      <x:c r="I4" s="167"/>
      <x:c r="J4" s="167"/>
      <x:c r="K4" s="167"/>
      <x:c r="L4" s="167"/>
      <x:c r="M4" s="167"/>
      <x:c r="N4" s="167"/>
      <x:c r="O4" s="167"/>
    </x:row>
    <x:row r="5" ht="15" hidden="0" customHeight="1">
      <x:c r="A5" s="167" t="str">
        <x:v>Financing amount</x:v>
      </x:c>
      <x:c r="B5" s="225" t="n">
        <x:f>0</x:f>
        <x:v>0</x:v>
      </x:c>
      <x:c r="C5" s="178" t="n">
        <x:f>'Inputs'!B9</x:f>
        <x:v>100000000</x:v>
      </x:c>
      <x:c r="D5" s="178" t="n">
        <x:f>'Inputs'!B16</x:f>
        <x:v>300000000</x:v>
      </x:c>
      <x:c r="E5" s="226" t="n">
        <x:f>'Inputs'!B19</x:f>
        <x:v>800000000</x:v>
      </x:c>
      <x:c r="F5" s="167" t="str">
        <x:v>New cash raised in each round</x:v>
      </x:c>
      <x:c r="G5" s="167"/>
      <x:c r="H5" s="167"/>
      <x:c r="I5" s="167"/>
      <x:c r="J5" s="167"/>
      <x:c r="K5" s="167"/>
      <x:c r="L5" s="167"/>
      <x:c r="M5" s="167"/>
      <x:c r="N5" s="167"/>
      <x:c r="O5" s="167"/>
    </x:row>
    <x:row r="6" ht="15" hidden="0" customHeight="1">
      <x:c r="A6" s="167" t="str">
        <x:v>Price per share</x:v>
      </x:c>
      <x:c r="B6" s="227" t="n">
        <x:f>0</x:f>
        <x:v>0</x:v>
      </x:c>
      <x:c r="C6" s="228" t="n">
        <x:f>C5/C21</x:f>
        <x:v>1025</x:v>
      </x:c>
      <x:c r="D6" s="228" t="n">
        <x:f>D5/D22</x:f>
        <x:v>1330.2222222222224</x:v>
      </x:c>
      <x:c r="E6" s="229" t="n">
        <x:f>E5/E23</x:f>
        <x:v>3015.1703703703706</x:v>
      </x:c>
      <x:c r="F6" s="167" t="str">
        <x:v>Investment / new investor shares</x:v>
      </x:c>
      <x:c r="G6" s="167"/>
      <x:c r="H6" s="167"/>
      <x:c r="I6" s="167"/>
      <x:c r="J6" s="167"/>
      <x:c r="K6" s="167"/>
      <x:c r="L6" s="167"/>
      <x:c r="M6" s="167"/>
      <x:c r="N6" s="167"/>
      <x:c r="O6" s="167"/>
    </x:row>
    <x:row r="7" ht="15" hidden="0" customHeight="1">
      <x:c r="A7" s="167" t="str">
        <x:v>Pre-money fully diluted valuation</x:v>
      </x:c>
      <x:c r="B7" s="230" t="n">
        <x:f>B8-B5</x:f>
        <x:v>1000000</x:v>
      </x:c>
      <x:c r="C7" s="183" t="n">
        <x:f>C8-C5</x:f>
        <x:v>1150000000</x:v>
      </x:c>
      <x:c r="D7" s="183" t="n">
        <x:f>D8-D5</x:f>
        <x:v>1700000000.0000002</x:v>
      </x:c>
      <x:c r="E7" s="231" t="n">
        <x:f>E8-E5</x:f>
        <x:v>4533333333.333334</x:v>
      </x:c>
      <x:c r="F7" s="167" t="str">
        <x:v>Post-money valuation minus new investment</x:v>
      </x:c>
      <x:c r="G7" s="167"/>
      <x:c r="H7" s="167"/>
      <x:c r="I7" s="167"/>
      <x:c r="J7" s="167"/>
      <x:c r="K7" s="167"/>
      <x:c r="L7" s="167"/>
      <x:c r="M7" s="167"/>
      <x:c r="N7" s="167"/>
      <x:c r="O7" s="167"/>
    </x:row>
    <x:row r="8" ht="15" hidden="0" customHeight="1">
      <x:c r="A8" s="167" t="str">
        <x:v>Post-money fully diluted valuation</x:v>
      </x:c>
      <x:c r="B8" s="230" t="n">
        <x:f>'Inputs'!B5</x:f>
        <x:v>1000000</x:v>
      </x:c>
      <x:c r="C8" s="183" t="n">
        <x:f>C6*C25</x:f>
        <x:v>1250000000</x:v>
      </x:c>
      <x:c r="D8" s="183" t="n">
        <x:f>D6*D25</x:f>
        <x:v>2000000000.0000002</x:v>
      </x:c>
      <x:c r="E8" s="231" t="n">
        <x:f>E6*E25</x:f>
        <x:v>5333333333.333334</x:v>
      </x:c>
      <x:c r="F8" s="167" t="str">
        <x:v>Price per share x post-round FD shares</x:v>
      </x:c>
      <x:c r="G8" s="167"/>
      <x:c r="H8" s="167"/>
      <x:c r="I8" s="167"/>
      <x:c r="J8" s="167"/>
      <x:c r="K8" s="167"/>
      <x:c r="L8" s="167"/>
      <x:c r="M8" s="167"/>
      <x:c r="N8" s="167"/>
      <x:c r="O8" s="167"/>
    </x:row>
    <x:row r="9" ht="15" hidden="0" customHeight="1">
      <x:c r="A9" s="167" t="str">
        <x:v>Cash-implied post-money</x:v>
      </x:c>
      <x:c r="B9" s="230" t="n">
        <x:f>0</x:f>
        <x:v>0</x:v>
      </x:c>
      <x:c r="C9" s="183" t="n">
        <x:f>C5/'Inputs'!B10</x:f>
        <x:v>1250000000</x:v>
      </x:c>
      <x:c r="D9" s="183" t="n">
        <x:f>D5/'Inputs'!B17</x:f>
        <x:v>2000000000</x:v>
      </x:c>
      <x:c r="E9" s="231" t="n">
        <x:f>E5/'Inputs'!B20</x:f>
        <x:v>5333333333.333334</x:v>
      </x:c>
      <x:c r="F9" s="167" t="str">
        <x:v>Investment / target ownership</x:v>
      </x:c>
      <x:c r="G9" s="167"/>
      <x:c r="H9" s="167"/>
      <x:c r="I9" s="167"/>
      <x:c r="J9" s="167"/>
      <x:c r="K9" s="167"/>
      <x:c r="L9" s="167"/>
      <x:c r="M9" s="167"/>
      <x:c r="N9" s="167"/>
      <x:c r="O9" s="167"/>
    </x:row>
    <x:row r="10" ht="15" hidden="0" customHeight="1">
      <x:c r="A10" s="167" t="str">
        <x:v>New investor ownership</x:v>
      </x:c>
      <x:c r="B10" s="232" t="n">
        <x:f>0</x:f>
        <x:v>0</x:v>
      </x:c>
      <x:c r="C10" s="184" t="n">
        <x:f>C21/C25</x:f>
        <x:v>0.08</x:v>
      </x:c>
      <x:c r="D10" s="184" t="n">
        <x:f>D22/D25</x:f>
        <x:v>0.15</x:v>
      </x:c>
      <x:c r="E10" s="186" t="n">
        <x:f>E23/E25</x:f>
        <x:v>0.15</x:v>
      </x:c>
      <x:c r="F10" s="167" t="str">
        <x:v>Actual post-round ownership</x:v>
      </x:c>
      <x:c r="G10" s="167"/>
      <x:c r="H10" s="167"/>
      <x:c r="I10" s="167"/>
      <x:c r="J10" s="167"/>
      <x:c r="K10" s="167"/>
      <x:c r="L10" s="167"/>
      <x:c r="M10" s="167"/>
      <x:c r="N10" s="167"/>
      <x:c r="O10" s="167"/>
    </x:row>
    <x:row r="11" ht="15" hidden="0" customHeight="1">
      <x:c r="A11" s="167" t="str">
        <x:v>SO pool ownership</x:v>
      </x:c>
      <x:c r="B11" s="232" t="n">
        <x:f>B24/B25</x:f>
        <x:v>0</x:v>
      </x:c>
      <x:c r="C11" s="184" t="n">
        <x:f>C24/C25</x:f>
        <x:v>0.09999999999999999</x:v>
      </x:c>
      <x:c r="D11" s="184" t="n">
        <x:f>D24/D25</x:f>
        <x:v>0.12</x:v>
      </x:c>
      <x:c r="E11" s="186" t="n">
        <x:f>E24/E25</x:f>
        <x:v>0.102</x:v>
      </x:c>
      <x:c r="F11" s="167" t="str">
        <x:v>Total option pool after round</x:v>
      </x:c>
      <x:c r="G11" s="167"/>
      <x:c r="H11" s="167"/>
      <x:c r="I11" s="167"/>
      <x:c r="J11" s="167"/>
      <x:c r="K11" s="167"/>
      <x:c r="L11" s="167"/>
      <x:c r="M11" s="167"/>
      <x:c r="N11" s="167"/>
      <x:c r="O11" s="167"/>
    </x:row>
    <x:row r="12" ht="15" hidden="0" customHeight="1">
      <x:c r="A12" s="233" t="str">
        <x:v>Total fully diluted shares</x:v>
      </x:c>
      <x:c r="B12" s="234" t="n">
        <x:f>B25</x:f>
        <x:v>1000000</x:v>
      </x:c>
      <x:c r="C12" s="235" t="n">
        <x:f>C25</x:f>
        <x:v>1219512.1951219512</x:v>
      </x:c>
      <x:c r="D12" s="235" t="n">
        <x:f>D25</x:f>
        <x:v>1503508.1857667891</x:v>
      </x:c>
      <x:c r="E12" s="236" t="n">
        <x:f>E25</x:f>
        <x:v>1768833.1597256344</x:v>
      </x:c>
      <x:c r="F12" s="167" t="str"/>
      <x:c r="G12" s="167"/>
      <x:c r="H12" s="167"/>
      <x:c r="I12" s="167"/>
      <x:c r="J12" s="167"/>
      <x:c r="K12" s="167"/>
      <x:c r="L12" s="167"/>
      <x:c r="M12" s="167"/>
      <x:c r="N12" s="167"/>
      <x:c r="O12" s="167"/>
    </x:row>
    <x:row r="13" ht="15" hidden="0" customHeight="1">
      <x:c r="A13" s="167" t="str">
        <x:v>Capital increase amount</x:v>
      </x:c>
      <x:c r="B13" s="230" t="n">
        <x:f>'Inputs'!B5</x:f>
        <x:v>1000000</x:v>
      </x:c>
      <x:c r="C13" s="183" t="n">
        <x:f>C5*'Inputs'!B13</x:f>
        <x:v>50000000</x:v>
      </x:c>
      <x:c r="D13" s="183" t="n">
        <x:f>D5*'Inputs'!B13</x:f>
        <x:v>150000000</x:v>
      </x:c>
      <x:c r="E13" s="231" t="n">
        <x:f>E5*'Inputs'!B13</x:f>
        <x:v>400000000</x:v>
      </x:c>
      <x:c r="F13" s="167" t="str">
        <x:v>Financing x capitalization ratio</x:v>
      </x:c>
      <x:c r="G13" s="167"/>
      <x:c r="H13" s="167"/>
      <x:c r="I13" s="167"/>
      <x:c r="J13" s="167"/>
      <x:c r="K13" s="167"/>
      <x:c r="L13" s="167"/>
      <x:c r="M13" s="167"/>
      <x:c r="N13" s="167"/>
      <x:c r="O13" s="167"/>
    </x:row>
    <x:row r="14" ht="15" hidden="0" customHeight="1">
      <x:c r="A14" s="167" t="str">
        <x:v>Stated capital after round</x:v>
      </x:c>
      <x:c r="B14" s="230" t="n">
        <x:f>'Inputs'!B5</x:f>
        <x:v>1000000</x:v>
      </x:c>
      <x:c r="C14" s="183" t="n">
        <x:f>B14+C13</x:f>
        <x:v>51000000</x:v>
      </x:c>
      <x:c r="D14" s="183" t="n">
        <x:f>C14+D13</x:f>
        <x:v>201000000</x:v>
      </x:c>
      <x:c r="E14" s="231" t="n">
        <x:f>D14+E13</x:f>
        <x:v>601000000</x:v>
      </x:c>
      <x:c r="F14" s="167" t="str">
        <x:v>Illustrative; confirm with tax/legal advisors</x:v>
      </x:c>
      <x:c r="G14" s="167"/>
      <x:c r="H14" s="167"/>
      <x:c r="I14" s="167"/>
      <x:c r="J14" s="167"/>
      <x:c r="K14" s="167"/>
      <x:c r="L14" s="167"/>
      <x:c r="M14" s="167"/>
      <x:c r="N14" s="167"/>
      <x:c r="O14" s="167"/>
    </x:row>
    <x:row r="15" ht="15" hidden="0" customHeight="1">
      <x:c r="A15" s="167" t="str">
        <x:v>Capital reserve increase</x:v>
      </x:c>
      <x:c r="B15" s="237" t="n">
        <x:f>0</x:f>
        <x:v>0</x:v>
      </x:c>
      <x:c r="C15" s="188" t="n">
        <x:f>C5-C13</x:f>
        <x:v>50000000</x:v>
      </x:c>
      <x:c r="D15" s="188" t="n">
        <x:f>D5-D13</x:f>
        <x:v>150000000</x:v>
      </x:c>
      <x:c r="E15" s="238" t="n">
        <x:f>E5-E13</x:f>
        <x:v>400000000</x:v>
      </x:c>
      <x:c r="F15" s="167" t="str"/>
      <x:c r="G15" s="167"/>
      <x:c r="H15" s="167"/>
      <x:c r="I15" s="167"/>
      <x:c r="J15" s="167"/>
      <x:c r="K15" s="167"/>
      <x:c r="L15" s="167"/>
      <x:c r="M15" s="167"/>
      <x:c r="N15" s="167"/>
      <x:c r="O15" s="167"/>
    </x:row>
    <x:row r="16" ht="15" hidden="0" customHeight="1">
      <x:c r="A16" s="167"/>
      <x:c r="B16" s="167"/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</x:row>
    <x:row r="17" ht="15" hidden="0" customHeight="1">
      <x:c r="A17" s="167"/>
      <x:c r="B17" s="167"/>
      <x:c r="C17" s="167"/>
      <x:c r="D17" s="167"/>
      <x:c r="E17" s="167"/>
      <x:c r="F17" s="167"/>
      <x:c r="G17" s="167"/>
      <x:c r="H17" s="167"/>
      <x:c r="I17" s="167"/>
      <x:c r="J17" s="167"/>
      <x:c r="K17" s="167"/>
      <x:c r="L17" s="167"/>
      <x:c r="M17" s="167"/>
      <x:c r="N17" s="167"/>
      <x:c r="O17" s="167"/>
    </x:row>
    <x:row r="18" ht="15" hidden="0" customHeight="1">
      <x:c r="A18" s="171" t="str">
        <x:v>Share Count</x:v>
      </x:c>
      <x:c r="B18" s="171" t="str">
        <x:v>Share Count</x:v>
      </x:c>
      <x:c r="C18" s="171" t="str">
        <x:v>Share Count</x:v>
      </x:c>
      <x:c r="D18" s="171" t="str">
        <x:v>Share Count</x:v>
      </x:c>
      <x:c r="E18" s="171" t="str">
        <x:v>Share Count</x:v>
      </x:c>
      <x:c r="F18" s="167"/>
      <x:c r="G18" s="167"/>
      <x:c r="H18" s="167"/>
      <x:c r="I18" s="167"/>
      <x:c r="J18" s="167"/>
      <x:c r="K18" s="167"/>
      <x:c r="L18" s="167"/>
      <x:c r="M18" s="167"/>
      <x:c r="N18" s="167"/>
      <x:c r="O18" s="167"/>
    </x:row>
    <x:row r="19" ht="15" hidden="0" customHeight="1">
      <x:c r="A19" s="168" t="str">
        <x:v>Holder</x:v>
      </x:c>
      <x:c r="B19" s="169" t="str">
        <x:v>Initial</x:v>
      </x:c>
      <x:c r="C19" s="169" t="str">
        <x:v>Post-Seed</x:v>
      </x:c>
      <x:c r="D19" s="169" t="str">
        <x:v>Post-A</x:v>
      </x:c>
      <x:c r="E19" s="170" t="str">
        <x:v>Post-B</x:v>
      </x:c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</x:row>
    <x:row r="20" ht="15" hidden="0" customHeight="1">
      <x:c r="A20" s="167" t="str">
        <x:v>Founder</x:v>
      </x:c>
      <x:c r="B20" s="225" t="n">
        <x:f>'Inputs'!B6</x:f>
        <x:v>1000000</x:v>
      </x:c>
      <x:c r="C20" s="178" t="n">
        <x:f>B20</x:f>
        <x:v>1000000</x:v>
      </x:c>
      <x:c r="D20" s="178" t="n">
        <x:f>C20</x:f>
        <x:v>1000000</x:v>
      </x:c>
      <x:c r="E20" s="226" t="n">
        <x:f>D20</x:f>
        <x:v>1000000</x:v>
      </x:c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</x:row>
    <x:row r="21" ht="15" hidden="0" customHeight="1">
      <x:c r="A21" s="167" t="str">
        <x:v>Seed investor</x:v>
      </x:c>
      <x:c r="B21" s="230" t="n">
        <x:f>0</x:f>
        <x:v>0</x:v>
      </x:c>
      <x:c r="C21" s="183" t="n">
        <x:f>IF('Inputs'!B12="After SO pool",'Inputs'!B10*'Inputs'!B6/(1-'Inputs'!B10-'Inputs'!B11),'Inputs'!B6/(1-'Inputs'!B10)-'Inputs'!B6)</x:f>
        <x:v>97560.97560975609</x:v>
      </x:c>
      <x:c r="D21" s="183" t="n">
        <x:f>C21</x:f>
        <x:v>97560.97560975609</x:v>
      </x:c>
      <x:c r="E21" s="231" t="n">
        <x:f>D21</x:f>
        <x:v>97560.97560975609</x:v>
      </x:c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</x:row>
    <x:row r="22" ht="15" hidden="0" customHeight="1">
      <x:c r="A22" s="167" t="str">
        <x:v>Series A investor</x:v>
      </x:c>
      <x:c r="B22" s="230" t="n">
        <x:f>0</x:f>
        <x:v>0</x:v>
      </x:c>
      <x:c r="C22" s="183" t="n">
        <x:f>0</x:f>
        <x:v>0</x:v>
      </x:c>
      <x:c r="D22" s="183" t="n">
        <x:f>IF(('Inputs'!B18*(C25-C24)/(1-'Inputs'!B17-'Inputs'!B18))&gt;=C24,'Inputs'!B17*(C25-C24)/(1-'Inputs'!B17-'Inputs'!B18),'Inputs'!B17*C25/(1-'Inputs'!B17))</x:f>
        <x:v>225526.22786501836</x:v>
      </x:c>
      <x:c r="E22" s="231" t="n">
        <x:f>D22</x:f>
        <x:v>225526.22786501836</x:v>
      </x:c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</x:row>
    <x:row r="23" ht="15" hidden="0" customHeight="1">
      <x:c r="A23" s="167" t="str">
        <x:v>Series B investor</x:v>
      </x:c>
      <x:c r="B23" s="230" t="n">
        <x:f>0</x:f>
        <x:v>0</x:v>
      </x:c>
      <x:c r="C23" s="183" t="n">
        <x:f>0</x:f>
        <x:v>0</x:v>
      </x:c>
      <x:c r="D23" s="183" t="n">
        <x:f>0</x:f>
        <x:v>0</x:v>
      </x:c>
      <x:c r="E23" s="231" t="n">
        <x:f>IF(('Inputs'!B21*(D25-D24)/(1-'Inputs'!B20-'Inputs'!B21))&gt;=D24,'Inputs'!B20*(D25-D24)/(1-'Inputs'!B20-'Inputs'!B21),'Inputs'!B20*D25/(1-'Inputs'!B20))</x:f>
        <x:v>265324.97395884513</x:v>
      </x:c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</x:row>
    <x:row r="24" ht="15" hidden="0" customHeight="1">
      <x:c r="A24" s="167" t="str">
        <x:v>SO pool</x:v>
      </x:c>
      <x:c r="B24" s="230" t="n">
        <x:f>0</x:f>
        <x:v>0</x:v>
      </x:c>
      <x:c r="C24" s="183" t="n">
        <x:f>IF('Inputs'!B12="After SO pool",'Inputs'!B11*'Inputs'!B6/(1-'Inputs'!B10-'Inputs'!B11),'Inputs'!B11*('Inputs'!B6/(1-'Inputs'!B10))/(1-'Inputs'!B11))</x:f>
        <x:v>121951.21951219511</x:v>
      </x:c>
      <x:c r="D24" s="183" t="n">
        <x:f>IF(('Inputs'!B18*(C25-C24)/(1-'Inputs'!B17-'Inputs'!B18))&gt;=C24,'Inputs'!B18*(C25-C24)/(1-'Inputs'!B17-'Inputs'!B18),C24)</x:f>
        <x:v>180420.9822920147</x:v>
      </x:c>
      <x:c r="E24" s="231" t="n">
        <x:f>IF(('Inputs'!B21*(D25-D24)/(1-'Inputs'!B20-'Inputs'!B21))&gt;=D24,'Inputs'!B21*(D25-D24)/(1-'Inputs'!B20-'Inputs'!B21),D24)</x:f>
        <x:v>180420.9822920147</x:v>
      </x:c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</x:row>
    <x:row r="25" ht="15" hidden="0" customHeight="1">
      <x:c r="A25" s="239" t="str">
        <x:v>Total fully diluted shares</x:v>
      </x:c>
      <x:c r="B25" s="240" t="n">
        <x:f>SUM(B20:B24)</x:f>
        <x:v>1000000</x:v>
      </x:c>
      <x:c r="C25" s="241" t="n">
        <x:f>SUM(C20:C24)</x:f>
        <x:v>1219512.1951219512</x:v>
      </x:c>
      <x:c r="D25" s="241" t="n">
        <x:f>SUM(D20:D24)</x:f>
        <x:v>1503508.1857667891</x:v>
      </x:c>
      <x:c r="E25" s="242" t="n">
        <x:f>SUM(E20:E24)</x:f>
        <x:v>1768833.1597256344</x:v>
      </x:c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</x:row>
    <x:row r="26" ht="15" hidden="0" customHeight="1">
      <x:c r="A26" s="243" t="str">
        <x:v>Check: sum above</x:v>
      </x:c>
      <x:c r="B26" s="244" t="n">
        <x:f>B25</x:f>
        <x:v>1000000</x:v>
      </x:c>
      <x:c r="C26" s="245" t="n">
        <x:f>C25</x:f>
        <x:v>1219512.1951219512</x:v>
      </x:c>
      <x:c r="D26" s="245" t="n">
        <x:f>D25</x:f>
        <x:v>1503508.1857667891</x:v>
      </x:c>
      <x:c r="E26" s="246" t="n">
        <x:f>E25</x:f>
        <x:v>1768833.1597256344</x:v>
      </x:c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</x:row>
    <x:row r="27" ht="15" hidden="0" customHeight="1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</x:row>
    <x:row r="28" ht="15" hidden="0" customHeight="1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</x:row>
    <x:row r="29" ht="15" hidden="0" customHeight="1">
      <x:c r="A29" s="171" t="str">
        <x:v>Ownership %</x:v>
      </x:c>
      <x:c r="B29" s="171" t="str">
        <x:v>Ownership %</x:v>
      </x:c>
      <x:c r="C29" s="171" t="str">
        <x:v>Ownership %</x:v>
      </x:c>
      <x:c r="D29" s="171" t="str">
        <x:v>Ownership %</x:v>
      </x:c>
      <x:c r="E29" s="171" t="str">
        <x:v>Ownership %</x:v>
      </x:c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</x:row>
    <x:row r="30" ht="15" hidden="0" customHeight="1">
      <x:c r="A30" s="168" t="str">
        <x:v>Holder</x:v>
      </x:c>
      <x:c r="B30" s="169" t="str">
        <x:v>Initial</x:v>
      </x:c>
      <x:c r="C30" s="169" t="str">
        <x:v>Post-Seed</x:v>
      </x:c>
      <x:c r="D30" s="169" t="str">
        <x:v>Post-A</x:v>
      </x:c>
      <x:c r="E30" s="170" t="str">
        <x:v>Post-B</x:v>
      </x:c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</x:row>
    <x:row r="31" ht="15" hidden="0" customHeight="1">
      <x:c r="A31" s="167" t="str">
        <x:v>Founder</x:v>
      </x:c>
      <x:c r="B31" s="247" t="n">
        <x:f>B20/B25</x:f>
        <x:v>1</x:v>
      </x:c>
      <x:c r="C31" s="179" t="n">
        <x:f>C20/C25</x:f>
        <x:v>0.8200000000000001</x:v>
      </x:c>
      <x:c r="D31" s="179" t="n">
        <x:f>D20/D25</x:f>
        <x:v>0.6651111111111111</x:v>
      </x:c>
      <x:c r="E31" s="181" t="n">
        <x:f>E20/E25</x:f>
        <x:v>0.5653444444444444</x:v>
      </x:c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</x:row>
    <x:row r="32" ht="15" hidden="0" customHeight="1">
      <x:c r="A32" s="167" t="str">
        <x:v>Seed investor</x:v>
      </x:c>
      <x:c r="B32" s="232" t="n">
        <x:f>B21/B25</x:f>
        <x:v>0</x:v>
      </x:c>
      <x:c r="C32" s="184" t="n">
        <x:f>C21/C25</x:f>
        <x:v>0.08</x:v>
      </x:c>
      <x:c r="D32" s="184" t="n">
        <x:f>D21/D25</x:f>
        <x:v>0.06488888888888888</x:v>
      </x:c>
      <x:c r="E32" s="186" t="n">
        <x:f>E21/E25</x:f>
        <x:v>0.05515555555555555</x:v>
      </x:c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</x:row>
    <x:row r="33" ht="15" hidden="0" customHeight="1">
      <x:c r="A33" s="167" t="str">
        <x:v>Series A investor</x:v>
      </x:c>
      <x:c r="B33" s="232" t="n">
        <x:f>B22/B25</x:f>
        <x:v>0</x:v>
      </x:c>
      <x:c r="C33" s="184" t="n">
        <x:f>C22/C25</x:f>
        <x:v>0</x:v>
      </x:c>
      <x:c r="D33" s="184" t="n">
        <x:f>D22/D25</x:f>
        <x:v>0.15</x:v>
      </x:c>
      <x:c r="E33" s="186" t="n">
        <x:f>E22/E25</x:f>
        <x:v>0.12749999999999997</x:v>
      </x:c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</x:row>
    <x:row r="34" ht="15" hidden="0" customHeight="1">
      <x:c r="A34" s="167" t="str">
        <x:v>Series B investor</x:v>
      </x:c>
      <x:c r="B34" s="232" t="n">
        <x:f>B23/B25</x:f>
        <x:v>0</x:v>
      </x:c>
      <x:c r="C34" s="184" t="n">
        <x:f>C23/C25</x:f>
        <x:v>0</x:v>
      </x:c>
      <x:c r="D34" s="184" t="n">
        <x:f>D23/D25</x:f>
        <x:v>0</x:v>
      </x:c>
      <x:c r="E34" s="186" t="n">
        <x:f>E23/E25</x:f>
        <x:v>0.15</x:v>
      </x:c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</x:row>
    <x:row r="35" ht="15" hidden="0" customHeight="1">
      <x:c r="A35" s="167" t="str">
        <x:v>SO pool</x:v>
      </x:c>
      <x:c r="B35" s="232" t="n">
        <x:f>B24/B25</x:f>
        <x:v>0</x:v>
      </x:c>
      <x:c r="C35" s="184" t="n">
        <x:f>C24/C25</x:f>
        <x:v>0.09999999999999999</x:v>
      </x:c>
      <x:c r="D35" s="184" t="n">
        <x:f>D24/D25</x:f>
        <x:v>0.12</x:v>
      </x:c>
      <x:c r="E35" s="186" t="n">
        <x:f>E24/E25</x:f>
        <x:v>0.102</x:v>
      </x:c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</x:row>
    <x:row r="36" ht="15" hidden="0" customHeight="1">
      <x:c r="A36" s="233" t="str">
        <x:v>Total</x:v>
      </x:c>
      <x:c r="B36" s="248" t="n">
        <x:f>SUM(B31:B35)</x:f>
        <x:v>1</x:v>
      </x:c>
      <x:c r="C36" s="249" t="n">
        <x:f>SUM(C31:C35)</x:f>
        <x:v>1</x:v>
      </x:c>
      <x:c r="D36" s="249" t="n">
        <x:f>SUM(D31:D35)</x:f>
        <x:v>1</x:v>
      </x:c>
      <x:c r="E36" s="250" t="n">
        <x:f>SUM(E31:E35)</x:f>
        <x:v>0.9999999999999999</x:v>
      </x:c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</x:row>
    <x:row r="37" ht="15" hidden="0" customHeight="1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</x:row>
    <x:row r="38" ht="15" hidden="0" customHeight="1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</x:row>
    <x:row r="39" ht="15" hidden="0" customHeight="1">
      <x:c r="A39" s="171" t="str">
        <x:v>Capital Threshold Flag</x:v>
      </x:c>
      <x:c r="B39" s="171" t="str">
        <x:v>Capital Threshold Flag</x:v>
      </x:c>
      <x:c r="C39" s="171" t="str">
        <x:v>Capital Threshold Flag</x:v>
      </x:c>
      <x:c r="D39" s="171" t="str">
        <x:v>Capital Threshold Flag</x:v>
      </x:c>
      <x:c r="E39" s="171" t="str">
        <x:v>Capital Threshold Flag</x:v>
      </x:c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</x:row>
    <x:row r="40" ht="15" hidden="0" customHeight="1">
      <x:c r="A40" s="168" t="str">
        <x:v>Metric</x:v>
      </x:c>
      <x:c r="B40" s="169" t="str">
        <x:v>Initial</x:v>
      </x:c>
      <x:c r="C40" s="169" t="str">
        <x:v>Post-Seed</x:v>
      </x:c>
      <x:c r="D40" s="169" t="str">
        <x:v>Post-A</x:v>
      </x:c>
      <x:c r="E40" s="170" t="str">
        <x:v>Post-B</x:v>
      </x:c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</x:row>
    <x:row r="41" ht="15" hidden="0" customHeight="1">
      <x:c r="A41" s="167" t="str">
        <x:v>Stated capital &lt;= JPY 50,000,000</x:v>
      </x:c>
      <x:c r="B41" s="251" t="str">
        <x:f>IF(B14&lt;=50000000,"OK","Over 50M")</x:f>
        <x:v>OK</x:v>
      </x:c>
      <x:c r="C41" s="252" t="str">
        <x:f>IF(C14&lt;=50000000,"OK","Over 50M")</x:f>
        <x:v>Over 50M</x:v>
      </x:c>
      <x:c r="D41" s="252" t="str">
        <x:f>IF(D14&lt;=50000000,"OK","Over 50M")</x:f>
        <x:v>Over 50M</x:v>
      </x:c>
      <x:c r="E41" s="253" t="str">
        <x:f>IF(E14&lt;=50000000,"OK","Over 50M")</x:f>
        <x:v>Over 50M</x:v>
      </x:c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</x:row>
    <x:row r="42" ht="15" hidden="0" customHeight="1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</x:row>
    <x:row r="43" ht="15" hidden="0" customHeight="1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</x:row>
    <x:row r="44" ht="15" hidden="0" customHeight="1">
      <x:c r="A44" s="192" t="str">
        <x:v>Important note</x:v>
      </x:c>
      <x:c r="B44" s="193" t="str"/>
      <x:c r="C44" s="193" t="str"/>
      <x:c r="D44" s="193" t="str"/>
      <x:c r="E44" s="193" t="str"/>
      <x:c r="F44" s="194" t="str"/>
      <x:c r="G44" s="167"/>
      <x:c r="H44" s="167"/>
      <x:c r="I44" s="167"/>
      <x:c r="J44" s="167"/>
      <x:c r="K44" s="167"/>
      <x:c r="L44" s="167"/>
      <x:c r="M44" s="167"/>
      <x:c r="N44" s="167"/>
      <x:c r="O44" s="167"/>
    </x:row>
    <x:row r="45" ht="15" hidden="0" customHeight="1">
      <x:c r="A45" s="195" t="str">
        <x:v>This is an illustrative planning model, not legal, tax, accounting, or investment advice.</x:v>
      </x:c>
      <x:c r="B45" s="196" t="str"/>
      <x:c r="C45" s="196" t="str"/>
      <x:c r="D45" s="196" t="str"/>
      <x:c r="E45" s="196" t="str"/>
      <x:c r="F45" s="197" t="str"/>
      <x:c r="G45" s="167"/>
      <x:c r="H45" s="167"/>
      <x:c r="I45" s="167"/>
      <x:c r="J45" s="167"/>
      <x:c r="K45" s="167"/>
      <x:c r="L45" s="167"/>
      <x:c r="M45" s="167"/>
      <x:c r="N45" s="167"/>
      <x:c r="O45" s="167"/>
    </x:row>
    <x:row r="46" ht="15" hidden="0" customHeight="1">
      <x:c r="A46" s="195" t="str">
        <x:v>The technology/IP transfer is intentionally kept out of equity issuance by default; document ownership/licensing separately.</x:v>
      </x:c>
      <x:c r="B46" s="196" t="str"/>
      <x:c r="C46" s="196" t="str"/>
      <x:c r="D46" s="196" t="str"/>
      <x:c r="E46" s="196" t="str"/>
      <x:c r="F46" s="197" t="str"/>
      <x:c r="G46" s="167"/>
      <x:c r="H46" s="167"/>
      <x:c r="I46" s="167"/>
      <x:c r="J46" s="167"/>
      <x:c r="K46" s="167"/>
      <x:c r="L46" s="167"/>
      <x:c r="M46" s="167"/>
      <x:c r="N46" s="167"/>
      <x:c r="O46" s="167"/>
    </x:row>
    <x:row r="47" ht="15" hidden="0" customHeight="1">
      <x:c r="A47" s="198" t="str">
        <x:v>Confirm capital/reserve allocation, taxes, and investment terms with counsel, tax accountant, and judicial scrivener before execution.</x:v>
      </x:c>
      <x:c r="B47" s="199" t="str"/>
      <x:c r="C47" s="199" t="str"/>
      <x:c r="D47" s="199" t="str"/>
      <x:c r="E47" s="199" t="str"/>
      <x:c r="F47" s="200" t="str"/>
      <x:c r="G47" s="167"/>
      <x:c r="H47" s="167"/>
      <x:c r="I47" s="167"/>
      <x:c r="J47" s="167"/>
      <x:c r="K47" s="167"/>
      <x:c r="L47" s="167"/>
      <x:c r="M47" s="167"/>
      <x:c r="N47" s="167"/>
      <x:c r="O47" s="167"/>
    </x:row>
    <x:row r="48" ht="15" hidden="0" customHeight="1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</x:row>
    <x:row r="49" ht="15" hidden="0" customHeight="1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</x:row>
    <x:row r="50" ht="15" hidden="0" customHeight="1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</x:row>
    <x:row r="51" ht="15" hidden="0" customHeight="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</x:row>
    <x:row r="52" ht="15" hidden="0" customHeight="1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</x:row>
    <x:row r="53" ht="15" hidden="0" customHeight="1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</x:row>
    <x:row r="54" ht="15" hidden="0" customHeight="1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</x:row>
    <x:row r="55" ht="15" hidden="0" customHeight="1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</x:row>
    <x:row r="56" ht="15" hidden="0" customHeight="1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</x:row>
    <x:row r="57" ht="15" hidden="0" customHeight="1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</x:row>
    <x:row r="58" ht="15" hidden="0" customHeight="1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</x:row>
    <x:row r="59" ht="15" hidden="0" customHeight="1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</x:row>
    <x:row r="60" ht="15" hidden="0" customHeight="1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</x:row>
    <x:row r="61" ht="15" hidden="0" customHeight="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</x:row>
    <x:row r="62" ht="15" hidden="0" customHeight="1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</x:row>
    <x:row r="63" ht="15" hidden="0" customHeight="1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</x:row>
    <x:row r="64" ht="15" hidden="0" customHeight="1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</x:row>
    <x:row r="65" ht="15" hidden="0" customHeight="1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</x:row>
    <x:row r="66" ht="15" hidden="0" customHeight="1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</x:row>
    <x:row r="67" ht="15" hidden="0" customHeight="1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</x:row>
    <x:row r="68" ht="15" hidden="0" customHeight="1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</x:row>
    <x:row r="69" ht="15" hidden="0" customHeight="1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</x:row>
    <x:row r="70" ht="15" hidden="0" customHeight="1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</x:row>
    <x:row r="71" ht="15" hidden="0" customHeight="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</x:row>
    <x:row r="72" ht="15" hidden="0" customHeight="1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</x:row>
    <x:row r="73" ht="15" hidden="0" customHeight="1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</x:row>
    <x:row r="74" ht="15" hidden="0" customHeight="1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</x:row>
    <x:row r="75" ht="15" hidden="0" customHeight="1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</x:row>
    <x:row r="76" ht="15" hidden="0" customHeight="1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</x:row>
    <x:row r="77" ht="15" hidden="0" customHeight="1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</x:row>
    <x:row r="78" ht="15" hidden="0" customHeight="1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</x:row>
    <x:row r="79" ht="15" hidden="0" customHeight="1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</x:row>
    <x:row r="80" ht="15" hidden="0" customHeight="1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</x:row>
    <x:row r="81" ht="15" hidden="0" customHeight="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</x:row>
    <x:row r="82" ht="15" hidden="0" customHeight="1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</x:row>
    <x:row r="83" ht="15" hidden="0" customHeight="1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</x:row>
    <x:row r="84" ht="15" hidden="0" customHeight="1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</x:row>
    <x:row r="85" ht="15" hidden="0" customHeight="1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</x:row>
    <x:row r="86" ht="15" hidden="0" customHeight="1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</x:row>
    <x:row r="87" ht="15" hidden="0" customHeight="1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</x:row>
    <x:row r="88" ht="15" hidden="0" customHeight="1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</x:row>
    <x:row r="89" ht="15" hidden="0" customHeight="1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</x:row>
    <x:row r="90" ht="15" hidden="0" customHeight="1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</x:row>
    <x:row r="91" ht="15" hidden="0" customHeight="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</x:row>
    <x:row r="92" ht="15" hidden="0" customHeight="1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</x:row>
    <x:row r="93" ht="15" hidden="0" customHeight="1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</x:row>
    <x:row r="94" ht="15" hidden="0" customHeight="1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</x:row>
    <x:row r="95" ht="15" hidden="0" customHeight="1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</x:row>
    <x:row r="96" ht="15" hidden="0" customHeight="1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</x:row>
    <x:row r="97" ht="15" hidden="0" customHeight="1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</x:row>
    <x:row r="98" ht="15" hidden="0" customHeight="1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</x:row>
    <x:row r="99" ht="15" hidden="0" customHeight="1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</x:row>
    <x:row r="100" ht="15" hidden="0" customHeight="1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</x:row>
    <x:row r="101" ht="15" hidden="0" customHeight="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</x:row>
    <x:row r="102" ht="15" hidden="0" customHeight="1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</x:row>
    <x:row r="103" ht="15" hidden="0" customHeight="1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</x:row>
    <x:row r="104" ht="15" hidden="0" customHeight="1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</x:row>
    <x:row r="105" ht="15" hidden="0" customHeight="1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</x:row>
    <x:row r="106" ht="15" hidden="0" customHeight="1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</x:row>
    <x:row r="107" ht="15" hidden="0" customHeight="1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</x:row>
    <x:row r="108" ht="15" hidden="0" customHeight="1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</x:row>
    <x:row r="109" ht="15" hidden="0" customHeight="1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</x:row>
    <x:row r="110" ht="15" hidden="0" customHeight="1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</x:row>
    <x:row r="111" ht="15" hidden="0" customHeight="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</x:row>
    <x:row r="112" ht="15" hidden="0" customHeight="1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</x:row>
    <x:row r="113" ht="15" hidden="0" customHeight="1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</x:row>
    <x:row r="114" ht="15" hidden="0" customHeight="1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</x:row>
    <x:row r="115" ht="15" hidden="0" customHeight="1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</x:row>
    <x:row r="116" ht="15" hidden="0" customHeight="1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</x:row>
    <x:row r="117" ht="15" hidden="0" customHeight="1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</x:row>
    <x:row r="118" ht="15" hidden="0" customHeight="1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</x:row>
    <x:row r="119" ht="15" hidden="0" customHeight="1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</x:row>
    <x:row r="120" ht="15" hidden="0" customHeight="1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</x:row>
  </x:sheetData>
  <x:mergeCells>
    <x:mergeCell ref="A1:F1"/>
    <x:mergeCell ref="A3:F3"/>
    <x:mergeCell ref="A18:E18"/>
    <x:mergeCell ref="A29:E29"/>
    <x:mergeCell ref="A39:E3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.4399995803833" hidden="0" customWidth="1"/>
    <x:col min="3" max="3" width="13.890000343322754" hidden="0" customWidth="1"/>
    <x:col min="4" max="4" width="16.670000076293945" hidden="0" customWidth="1"/>
    <x:col min="5" max="5" width="11.670000076293945" hidden="0" customWidth="1"/>
    <x:col min="6" max="6" width="13.329999923706055" hidden="0" customWidth="1"/>
    <x:col min="7" max="7" width="17.780000686645508" hidden="0" customWidth="1"/>
    <x:col min="8" max="8" width="12.220000267028809" hidden="0" customWidth="1"/>
    <x:col min="9" max="9" width="16.670000076293945" hidden="0" customWidth="1"/>
    <x:col min="10" max="10" width="15.5600004196167" hidden="0" customWidth="1"/>
    <x:col min="11" max="11" width="13.890000343322754" hidden="0" customWidth="1"/>
    <x:col min="12" max="12" width="15" hidden="0" customWidth="1"/>
    <x:col min="13" max="13" width="12.4399995803833" hidden="0" customWidth="1"/>
    <x:col min="14" max="14" width="16.110000610351562" hidden="0" customWidth="1"/>
    <x:col min="15" max="15" width="18.329999923706055" hidden="0" customWidth="1"/>
  </x:cols>
  <x:sheetData>
    <x:row r="1" ht="16.799999237060547" hidden="0" customHeight="1">
      <x:c r="A1" s="166" t="str">
        <x:v>Valuation Simulation</x:v>
      </x:c>
      <x:c r="B1" s="166" t="str">
        <x:v>Valuation Simulation</x:v>
      </x:c>
      <x:c r="C1" s="166" t="str">
        <x:v>Valuation Simulation</x:v>
      </x:c>
      <x:c r="D1" s="166" t="str">
        <x:v>Valuation Simulation</x:v>
      </x:c>
      <x:c r="E1" s="166" t="str">
        <x:v>Valuation Simulation</x:v>
      </x:c>
      <x:c r="F1" s="166" t="str">
        <x:v>Valuation Simulation</x:v>
      </x:c>
      <x:c r="G1" s="166" t="str">
        <x:v>Valuation Simulation</x:v>
      </x:c>
      <x:c r="H1" s="166" t="str">
        <x:v>Valuation Simulation</x:v>
      </x:c>
      <x:c r="I1" s="166" t="str">
        <x:v>Valuation Simulation</x:v>
      </x:c>
      <x:c r="J1" s="166" t="str">
        <x:v>Valuation Simulation</x:v>
      </x:c>
      <x:c r="K1" s="166" t="str">
        <x:v>Valuation Simulation</x:v>
      </x:c>
      <x:c r="L1" s="166" t="str">
        <x:v>Valuation Simulation</x:v>
      </x:c>
      <x:c r="M1" s="166" t="str">
        <x:v>Valuation Simulation</x:v>
      </x:c>
      <x:c r="N1" s="166" t="str">
        <x:v>Valuation Simulation</x:v>
      </x:c>
      <x:c r="O1" s="167"/>
    </x:row>
    <x:row r="2" ht="15" hidden="0" customHeight="1">
      <x:c r="A2" s="167"/>
      <x:c r="B2" s="167"/>
      <x:c r="C2" s="167"/>
      <x:c r="D2" s="167"/>
      <x:c r="E2" s="167"/>
      <x:c r="F2" s="167"/>
      <x:c r="G2" s="167"/>
      <x:c r="H2" s="167"/>
      <x:c r="I2" s="167"/>
      <x:c r="J2" s="167"/>
      <x:c r="K2" s="167"/>
      <x:c r="L2" s="167"/>
      <x:c r="M2" s="167"/>
      <x:c r="N2" s="167"/>
      <x:c r="O2" s="167"/>
    </x:row>
    <x:row r="3" ht="15" hidden="0" customHeight="1">
      <x:c r="A3" s="171" t="str">
        <x:v>Financing-implied Valuation Metrics</x:v>
      </x:c>
      <x:c r="B3" s="171" t="str">
        <x:v>Financing-implied Valuation Metrics</x:v>
      </x:c>
      <x:c r="C3" s="171" t="str">
        <x:v>Financing-implied Valuation Metrics</x:v>
      </x:c>
      <x:c r="D3" s="171" t="str">
        <x:v>Financing-implied Valuation Metrics</x:v>
      </x:c>
      <x:c r="E3" s="171" t="str">
        <x:v>Financing-implied Valuation Metrics</x:v>
      </x:c>
      <x:c r="F3" s="171" t="str">
        <x:v>Financing-implied Valuation Metrics</x:v>
      </x:c>
      <x:c r="G3" s="171" t="str">
        <x:v>Financing-implied Valuation Metrics</x:v>
      </x:c>
      <x:c r="H3" s="171" t="str">
        <x:v>Financing-implied Valuation Metrics</x:v>
      </x:c>
      <x:c r="I3" s="167"/>
      <x:c r="J3" s="167"/>
      <x:c r="K3" s="167"/>
      <x:c r="L3" s="167"/>
      <x:c r="M3" s="167"/>
      <x:c r="N3" s="167"/>
      <x:c r="O3" s="167"/>
    </x:row>
    <x:row r="4" ht="15" hidden="0" customHeight="1">
      <x:c r="A4" s="168" t="str">
        <x:v>Year</x:v>
      </x:c>
      <x:c r="B4" s="169" t="str">
        <x:v>Revenue</x:v>
      </x:c>
      <x:c r="C4" s="169" t="str">
        <x:v>Operating profit</x:v>
      </x:c>
      <x:c r="D4" s="169" t="str">
        <x:v>Seed FD post</x:v>
      </x:c>
      <x:c r="E4" s="169" t="str">
        <x:v>PSR at seed FD</x:v>
      </x:c>
      <x:c r="F4" s="169" t="str">
        <x:v>Profit multiple at seed FD</x:v>
      </x:c>
      <x:c r="G4" s="170" t="str">
        <x:v>Notes</x:v>
      </x:c>
      <x:c r="H4" s="167"/>
      <x:c r="I4" s="167"/>
      <x:c r="J4" s="167"/>
      <x:c r="K4" s="167"/>
      <x:c r="L4" s="167"/>
      <x:c r="M4" s="167"/>
      <x:c r="N4" s="167"/>
      <x:c r="O4" s="167"/>
    </x:row>
    <x:row r="5" ht="15" hidden="0" customHeight="1">
      <x:c r="A5" s="177" t="n">
        <x:f>'Inputs'!A38</x:f>
        <x:v>2027</x:v>
      </x:c>
      <x:c r="B5" s="178" t="n">
        <x:f>'Inputs'!B38</x:f>
        <x:v>50000000</x:v>
      </x:c>
      <x:c r="C5" s="178" t="n">
        <x:f>'Inputs'!D38</x:f>
        <x:v>0</x:v>
      </x:c>
      <x:c r="D5" s="178" t="n">
        <x:f>'Cap Table'!C8</x:f>
        <x:v>1250000000</x:v>
      </x:c>
      <x:c r="E5" s="180" t="n">
        <x:f>IF(B5&gt;0,D5/B5,"")</x:f>
        <x:v>25</x:v>
      </x:c>
      <x:c r="F5" s="254" t="str">
        <x:f>IF(C5&gt;0,D5/C5,"n.m.")</x:f>
        <x:v>n.m.</x:v>
      </x:c>
      <x:c r="G5" s="167" t="str">
        <x:v>Seed FD post vs forecast</x:v>
      </x:c>
      <x:c r="H5" s="167"/>
      <x:c r="I5" s="167"/>
      <x:c r="J5" s="167"/>
      <x:c r="K5" s="167"/>
      <x:c r="L5" s="167"/>
      <x:c r="M5" s="167"/>
      <x:c r="N5" s="167"/>
      <x:c r="O5" s="167"/>
    </x:row>
    <x:row r="6" ht="15" hidden="0" customHeight="1">
      <x:c r="A6" s="182" t="n">
        <x:f>'Inputs'!A39</x:f>
        <x:v>2028</x:v>
      </x:c>
      <x:c r="B6" s="183" t="n">
        <x:f>'Inputs'!B39</x:f>
        <x:v>150000000</x:v>
      </x:c>
      <x:c r="C6" s="183" t="n">
        <x:f>'Inputs'!D39</x:f>
        <x:v>15000000</x:v>
      </x:c>
      <x:c r="D6" s="183" t="n">
        <x:f>'Cap Table'!C8</x:f>
        <x:v>1250000000</x:v>
      </x:c>
      <x:c r="E6" s="185" t="n">
        <x:f>IF(B6&gt;0,D6/B6,"")</x:f>
        <x:v>8.333333333333334</x:v>
      </x:c>
      <x:c r="F6" s="255" t="n">
        <x:f>IF(C6&gt;0,D6/C6,"n.m.")</x:f>
        <x:v>83.33333333333333</x:v>
      </x:c>
      <x:c r="G6" s="167" t="str">
        <x:v>Seed FD post vs forecast</x:v>
      </x:c>
      <x:c r="H6" s="167"/>
      <x:c r="I6" s="167"/>
      <x:c r="J6" s="167"/>
      <x:c r="K6" s="167"/>
      <x:c r="L6" s="167"/>
      <x:c r="M6" s="167"/>
      <x:c r="N6" s="167"/>
      <x:c r="O6" s="167"/>
    </x:row>
    <x:row r="7" ht="15" hidden="0" customHeight="1">
      <x:c r="A7" s="182" t="n">
        <x:f>'Inputs'!A40</x:f>
        <x:v>2029</x:v>
      </x:c>
      <x:c r="B7" s="183" t="n">
        <x:f>'Inputs'!B40</x:f>
        <x:v>400000000</x:v>
      </x:c>
      <x:c r="C7" s="183" t="n">
        <x:f>'Inputs'!D40</x:f>
        <x:v>80000000</x:v>
      </x:c>
      <x:c r="D7" s="183" t="n">
        <x:f>'Cap Table'!C8</x:f>
        <x:v>1250000000</x:v>
      </x:c>
      <x:c r="E7" s="185" t="n">
        <x:f>IF(B7&gt;0,D7/B7,"")</x:f>
        <x:v>3.125</x:v>
      </x:c>
      <x:c r="F7" s="255" t="n">
        <x:f>IF(C7&gt;0,D7/C7,"n.m.")</x:f>
        <x:v>15.625</x:v>
      </x:c>
      <x:c r="G7" s="167" t="str">
        <x:v>Seed FD post vs forecast</x:v>
      </x:c>
      <x:c r="H7" s="167"/>
      <x:c r="I7" s="167"/>
      <x:c r="J7" s="167"/>
      <x:c r="K7" s="167"/>
      <x:c r="L7" s="167"/>
      <x:c r="M7" s="167"/>
      <x:c r="N7" s="167"/>
      <x:c r="O7" s="167"/>
    </x:row>
    <x:row r="8" ht="15" hidden="0" customHeight="1">
      <x:c r="A8" s="187" t="n">
        <x:f>'Inputs'!A41</x:f>
        <x:v>2030</x:v>
      </x:c>
      <x:c r="B8" s="188" t="n">
        <x:f>'Inputs'!B41</x:f>
        <x:v>800000000</x:v>
      </x:c>
      <x:c r="C8" s="188" t="n">
        <x:f>'Inputs'!D41</x:f>
        <x:v>240000000</x:v>
      </x:c>
      <x:c r="D8" s="188" t="n">
        <x:f>'Cap Table'!C8</x:f>
        <x:v>1250000000</x:v>
      </x:c>
      <x:c r="E8" s="190" t="n">
        <x:f>IF(B8&gt;0,D8/B8,"")</x:f>
        <x:v>1.5625</x:v>
      </x:c>
      <x:c r="F8" s="256" t="n">
        <x:f>IF(C8&gt;0,D8/C8,"n.m.")</x:f>
        <x:v>5.208333333333333</x:v>
      </x:c>
      <x:c r="G8" s="167" t="str">
        <x:v>Seed FD post vs forecast</x:v>
      </x:c>
      <x:c r="H8" s="167"/>
      <x:c r="I8" s="167"/>
      <x:c r="J8" s="167"/>
      <x:c r="K8" s="167"/>
      <x:c r="L8" s="167"/>
      <x:c r="M8" s="167"/>
      <x:c r="N8" s="167"/>
      <x:c r="O8" s="167"/>
    </x:row>
    <x:row r="9" ht="15" hidden="0" customHeight="1">
      <x:c r="A9" s="167"/>
      <x:c r="B9" s="167"/>
      <x:c r="C9" s="167"/>
      <x:c r="D9" s="167"/>
      <x:c r="E9" s="167"/>
      <x:c r="F9" s="167"/>
      <x:c r="G9" s="167"/>
      <x:c r="H9" s="167"/>
      <x:c r="I9" s="167"/>
      <x:c r="J9" s="167"/>
      <x:c r="K9" s="167"/>
      <x:c r="L9" s="167"/>
      <x:c r="M9" s="167"/>
      <x:c r="N9" s="167"/>
      <x:c r="O9" s="167"/>
    </x:row>
    <x:row r="10" ht="15" hidden="0" customHeight="1">
      <x:c r="A10" s="167"/>
      <x:c r="B10" s="167"/>
      <x:c r="C10" s="167"/>
      <x:c r="D10" s="167"/>
      <x:c r="E10" s="167"/>
      <x:c r="F10" s="167"/>
      <x:c r="G10" s="167"/>
      <x:c r="H10" s="167"/>
      <x:c r="I10" s="167"/>
      <x:c r="J10" s="167"/>
      <x:c r="K10" s="167"/>
      <x:c r="L10" s="167"/>
      <x:c r="M10" s="167"/>
      <x:c r="N10" s="167"/>
      <x:c r="O10" s="167"/>
    </x:row>
    <x:row r="11" ht="15" hidden="0" customHeight="1">
      <x:c r="A11" s="171" t="str">
        <x:v>Operating Multiple Valuation Cases</x:v>
      </x:c>
      <x:c r="B11" s="171" t="str">
        <x:v>Operating Multiple Valuation Cases</x:v>
      </x:c>
      <x:c r="C11" s="171" t="str">
        <x:v>Operating Multiple Valuation Cases</x:v>
      </x:c>
      <x:c r="D11" s="171" t="str">
        <x:v>Operating Multiple Valuation Cases</x:v>
      </x:c>
      <x:c r="E11" s="171" t="str">
        <x:v>Operating Multiple Valuation Cases</x:v>
      </x:c>
      <x:c r="F11" s="171" t="str">
        <x:v>Operating Multiple Valuation Cases</x:v>
      </x:c>
      <x:c r="G11" s="171" t="str">
        <x:v>Operating Multiple Valuation Cases</x:v>
      </x:c>
      <x:c r="H11" s="171" t="str">
        <x:v>Operating Multiple Valuation Cases</x:v>
      </x:c>
      <x:c r="I11" s="171" t="str">
        <x:v>Operating Multiple Valuation Cases</x:v>
      </x:c>
      <x:c r="J11" s="171" t="str">
        <x:v>Operating Multiple Valuation Cases</x:v>
      </x:c>
      <x:c r="K11" s="171" t="str">
        <x:v>Operating Multiple Valuation Cases</x:v>
      </x:c>
      <x:c r="L11" s="171" t="str">
        <x:v>Operating Multiple Valuation Cases</x:v>
      </x:c>
      <x:c r="M11" s="171" t="str">
        <x:v>Operating Multiple Valuation Cases</x:v>
      </x:c>
      <x:c r="N11" s="171" t="str">
        <x:v>Operating Multiple Valuation Cases</x:v>
      </x:c>
      <x:c r="O11" s="167"/>
    </x:row>
    <x:row r="12" ht="15" hidden="0" customHeight="1">
      <x:c r="A12" s="168" t="str">
        <x:v>Case</x:v>
      </x:c>
      <x:c r="B12" s="169" t="str">
        <x:v>Year</x:v>
      </x:c>
      <x:c r="C12" s="169" t="str">
        <x:v>Revenue</x:v>
      </x:c>
      <x:c r="D12" s="169" t="str">
        <x:v>Profit margin</x:v>
      </x:c>
      <x:c r="E12" s="169" t="str">
        <x:v>Operating profit</x:v>
      </x:c>
      <x:c r="F12" s="169" t="str">
        <x:v>PSR</x:v>
      </x:c>
      <x:c r="G12" s="169" t="str">
        <x:v>EV from PSR</x:v>
      </x:c>
      <x:c r="H12" s="169" t="str">
        <x:v>Profit multiple</x:v>
      </x:c>
      <x:c r="I12" s="169" t="str">
        <x:v>EV from profit multiple</x:v>
      </x:c>
      <x:c r="J12" s="169" t="str">
        <x:v>Blended EV</x:v>
      </x:c>
      <x:c r="K12" s="169" t="str">
        <x:v>Net cash / (debt)</x:v>
      </x:c>
      <x:c r="L12" s="169" t="str">
        <x:v>Equity value</x:v>
      </x:c>
      <x:c r="M12" s="169" t="str">
        <x:v>FD shares</x:v>
      </x:c>
      <x:c r="N12" s="169" t="str">
        <x:v>Implied price/share</x:v>
      </x:c>
      <x:c r="O12" s="170" t="str">
        <x:v>1億 investment ownership</x:v>
      </x:c>
    </x:row>
    <x:row r="13" ht="15" hidden="0" customHeight="1">
      <x:c r="A13" s="167" t="str">
        <x:v>Low</x:v>
      </x:c>
      <x:c r="B13" s="177" t="n">
        <x:f>'Inputs'!A38</x:f>
        <x:v>2027</x:v>
      </x:c>
      <x:c r="C13" s="178" t="n">
        <x:f>'Inputs'!B38</x:f>
        <x:v>50000000</x:v>
      </x:c>
      <x:c r="D13" s="179" t="n">
        <x:f>'Inputs'!C38</x:f>
        <x:v>0</x:v>
      </x:c>
      <x:c r="E13" s="178" t="n">
        <x:f>'Inputs'!D38</x:f>
        <x:v>0</x:v>
      </x:c>
      <x:c r="F13" s="180" t="n">
        <x:f>IF($A13="Low",'Inputs'!$B$32,IF($A13="Base",'Inputs'!$B$33,'Inputs'!$B$34))</x:f>
        <x:v>5</x:v>
      </x:c>
      <x:c r="G13" s="178" t="n">
        <x:f>C13*F13</x:f>
        <x:v>250000000</x:v>
      </x:c>
      <x:c r="H13" s="180" t="n">
        <x:f>IF($A13="Low",'Inputs'!$C$32,IF($A13="Base",'Inputs'!$C$33,'Inputs'!$C$34))</x:f>
        <x:v>15</x:v>
      </x:c>
      <x:c r="I13" s="178" t="n">
        <x:f>IF(E13&gt;0,E13*H13,0)</x:f>
        <x:v>0</x:v>
      </x:c>
      <x:c r="J13" s="178" t="n">
        <x:f>IF(E13&gt;0,'Inputs'!$B$25*G13+(1-'Inputs'!$B$25)*I13,G13)</x:f>
        <x:v>250000000</x:v>
      </x:c>
      <x:c r="K13" s="178" t="n">
        <x:f>'Inputs'!$B$24</x:f>
        <x:v>100000000</x:v>
      </x:c>
      <x:c r="L13" s="178" t="n">
        <x:f>J13+K13</x:f>
        <x:v>350000000</x:v>
      </x:c>
      <x:c r="M13" s="178" t="n">
        <x:f>IF('Inputs'!$B$26="Post-Seed",'Cap Table'!$C$26,IF('Inputs'!$B$26="Post-A",'Cap Table'!$D$26,'Cap Table'!$E$26))</x:f>
        <x:v>1219512.1951219512</x:v>
      </x:c>
      <x:c r="N13" s="257" t="n">
        <x:f>L13/M13</x:f>
        <x:v>287</x:v>
      </x:c>
      <x:c r="O13" s="181" t="n">
        <x:f>'Inputs'!$B$9/(L13+'Inputs'!$B$9)</x:f>
        <x:v>0.2222222222222222</x:v>
      </x:c>
    </x:row>
    <x:row r="14" ht="15" hidden="0" customHeight="1">
      <x:c r="A14" s="167" t="str">
        <x:v>Low</x:v>
      </x:c>
      <x:c r="B14" s="182" t="n">
        <x:f>'Inputs'!A39</x:f>
        <x:v>2028</x:v>
      </x:c>
      <x:c r="C14" s="183" t="n">
        <x:f>'Inputs'!B39</x:f>
        <x:v>150000000</x:v>
      </x:c>
      <x:c r="D14" s="184" t="n">
        <x:f>'Inputs'!C39</x:f>
        <x:v>0.1</x:v>
      </x:c>
      <x:c r="E14" s="183" t="n">
        <x:f>'Inputs'!D39</x:f>
        <x:v>15000000</x:v>
      </x:c>
      <x:c r="F14" s="185" t="n">
        <x:f>IF($A14="Low",'Inputs'!$B$32,IF($A14="Base",'Inputs'!$B$33,'Inputs'!$B$34))</x:f>
        <x:v>5</x:v>
      </x:c>
      <x:c r="G14" s="183" t="n">
        <x:f>C14*F14</x:f>
        <x:v>750000000</x:v>
      </x:c>
      <x:c r="H14" s="185" t="n">
        <x:f>IF($A14="Low",'Inputs'!$C$32,IF($A14="Base",'Inputs'!$C$33,'Inputs'!$C$34))</x:f>
        <x:v>15</x:v>
      </x:c>
      <x:c r="I14" s="183" t="n">
        <x:f>IF(E14&gt;0,E14*H14,0)</x:f>
        <x:v>225000000</x:v>
      </x:c>
      <x:c r="J14" s="183" t="n">
        <x:f>IF(E14&gt;0,'Inputs'!$B$25*G14+(1-'Inputs'!$B$25)*I14,G14)</x:f>
        <x:v>487500000</x:v>
      </x:c>
      <x:c r="K14" s="183" t="n">
        <x:f>'Inputs'!$B$24</x:f>
        <x:v>100000000</x:v>
      </x:c>
      <x:c r="L14" s="183" t="n">
        <x:f>J14+K14</x:f>
        <x:v>587500000</x:v>
      </x:c>
      <x:c r="M14" s="183" t="n">
        <x:f>IF('Inputs'!$B$26="Post-Seed",'Cap Table'!$C$26,IF('Inputs'!$B$26="Post-A",'Cap Table'!$D$26,'Cap Table'!$E$26))</x:f>
        <x:v>1219512.1951219512</x:v>
      </x:c>
      <x:c r="N14" s="228" t="n">
        <x:f>L14/M14</x:f>
        <x:v>481.75</x:v>
      </x:c>
      <x:c r="O14" s="186" t="n">
        <x:f>'Inputs'!$B$9/(L14+'Inputs'!$B$9)</x:f>
        <x:v>0.14545454545454545</x:v>
      </x:c>
    </x:row>
    <x:row r="15" ht="15" hidden="0" customHeight="1">
      <x:c r="A15" s="167" t="str">
        <x:v>Low</x:v>
      </x:c>
      <x:c r="B15" s="182" t="n">
        <x:f>'Inputs'!A40</x:f>
        <x:v>2029</x:v>
      </x:c>
      <x:c r="C15" s="183" t="n">
        <x:f>'Inputs'!B40</x:f>
        <x:v>400000000</x:v>
      </x:c>
      <x:c r="D15" s="184" t="n">
        <x:f>'Inputs'!C40</x:f>
        <x:v>0.2</x:v>
      </x:c>
      <x:c r="E15" s="183" t="n">
        <x:f>'Inputs'!D40</x:f>
        <x:v>80000000</x:v>
      </x:c>
      <x:c r="F15" s="185" t="n">
        <x:f>IF($A15="Low",'Inputs'!$B$32,IF($A15="Base",'Inputs'!$B$33,'Inputs'!$B$34))</x:f>
        <x:v>5</x:v>
      </x:c>
      <x:c r="G15" s="183" t="n">
        <x:f>C15*F15</x:f>
        <x:v>2000000000</x:v>
      </x:c>
      <x:c r="H15" s="185" t="n">
        <x:f>IF($A15="Low",'Inputs'!$C$32,IF($A15="Base",'Inputs'!$C$33,'Inputs'!$C$34))</x:f>
        <x:v>15</x:v>
      </x:c>
      <x:c r="I15" s="183" t="n">
        <x:f>IF(E15&gt;0,E15*H15,0)</x:f>
        <x:v>1200000000</x:v>
      </x:c>
      <x:c r="J15" s="183" t="n">
        <x:f>IF(E15&gt;0,'Inputs'!$B$25*G15+(1-'Inputs'!$B$25)*I15,G15)</x:f>
        <x:v>1600000000</x:v>
      </x:c>
      <x:c r="K15" s="183" t="n">
        <x:f>'Inputs'!$B$24</x:f>
        <x:v>100000000</x:v>
      </x:c>
      <x:c r="L15" s="183" t="n">
        <x:f>J15+K15</x:f>
        <x:v>1700000000</x:v>
      </x:c>
      <x:c r="M15" s="183" t="n">
        <x:f>IF('Inputs'!$B$26="Post-Seed",'Cap Table'!$C$26,IF('Inputs'!$B$26="Post-A",'Cap Table'!$D$26,'Cap Table'!$E$26))</x:f>
        <x:v>1219512.1951219512</x:v>
      </x:c>
      <x:c r="N15" s="228" t="n">
        <x:f>L15/M15</x:f>
        <x:v>1394</x:v>
      </x:c>
      <x:c r="O15" s="186" t="n">
        <x:f>'Inputs'!$B$9/(L15+'Inputs'!$B$9)</x:f>
        <x:v>0.05555555555555555</x:v>
      </x:c>
    </x:row>
    <x:row r="16" ht="15" hidden="0" customHeight="1">
      <x:c r="A16" s="167" t="str">
        <x:v>Low</x:v>
      </x:c>
      <x:c r="B16" s="182" t="n">
        <x:f>'Inputs'!A41</x:f>
        <x:v>2030</x:v>
      </x:c>
      <x:c r="C16" s="183" t="n">
        <x:f>'Inputs'!B41</x:f>
        <x:v>800000000</x:v>
      </x:c>
      <x:c r="D16" s="184" t="n">
        <x:f>'Inputs'!C41</x:f>
        <x:v>0.3</x:v>
      </x:c>
      <x:c r="E16" s="183" t="n">
        <x:f>'Inputs'!D41</x:f>
        <x:v>240000000</x:v>
      </x:c>
      <x:c r="F16" s="185" t="n">
        <x:f>IF($A16="Low",'Inputs'!$B$32,IF($A16="Base",'Inputs'!$B$33,'Inputs'!$B$34))</x:f>
        <x:v>5</x:v>
      </x:c>
      <x:c r="G16" s="183" t="n">
        <x:f>C16*F16</x:f>
        <x:v>4000000000</x:v>
      </x:c>
      <x:c r="H16" s="185" t="n">
        <x:f>IF($A16="Low",'Inputs'!$C$32,IF($A16="Base",'Inputs'!$C$33,'Inputs'!$C$34))</x:f>
        <x:v>15</x:v>
      </x:c>
      <x:c r="I16" s="183" t="n">
        <x:f>IF(E16&gt;0,E16*H16,0)</x:f>
        <x:v>3600000000</x:v>
      </x:c>
      <x:c r="J16" s="183" t="n">
        <x:f>IF(E16&gt;0,'Inputs'!$B$25*G16+(1-'Inputs'!$B$25)*I16,G16)</x:f>
        <x:v>3800000000</x:v>
      </x:c>
      <x:c r="K16" s="183" t="n">
        <x:f>'Inputs'!$B$24</x:f>
        <x:v>100000000</x:v>
      </x:c>
      <x:c r="L16" s="183" t="n">
        <x:f>J16+K16</x:f>
        <x:v>3900000000</x:v>
      </x:c>
      <x:c r="M16" s="183" t="n">
        <x:f>IF('Inputs'!$B$26="Post-Seed",'Cap Table'!$C$26,IF('Inputs'!$B$26="Post-A",'Cap Table'!$D$26,'Cap Table'!$E$26))</x:f>
        <x:v>1219512.1951219512</x:v>
      </x:c>
      <x:c r="N16" s="228" t="n">
        <x:f>L16/M16</x:f>
        <x:v>3198</x:v>
      </x:c>
      <x:c r="O16" s="186" t="n">
        <x:f>'Inputs'!$B$9/(L16+'Inputs'!$B$9)</x:f>
        <x:v>0.025</x:v>
      </x:c>
    </x:row>
    <x:row r="17" ht="15" hidden="0" customHeight="1">
      <x:c r="A17" s="167" t="str">
        <x:v>Base</x:v>
      </x:c>
      <x:c r="B17" s="182" t="n">
        <x:f>'Inputs'!A38</x:f>
        <x:v>2027</x:v>
      </x:c>
      <x:c r="C17" s="183" t="n">
        <x:f>'Inputs'!B38</x:f>
        <x:v>50000000</x:v>
      </x:c>
      <x:c r="D17" s="184" t="n">
        <x:f>'Inputs'!C38</x:f>
        <x:v>0</x:v>
      </x:c>
      <x:c r="E17" s="183" t="n">
        <x:f>'Inputs'!D38</x:f>
        <x:v>0</x:v>
      </x:c>
      <x:c r="F17" s="185" t="n">
        <x:f>IF($A17="Low",'Inputs'!$B$32,IF($A17="Base",'Inputs'!$B$33,'Inputs'!$B$34))</x:f>
        <x:v>8</x:v>
      </x:c>
      <x:c r="G17" s="183" t="n">
        <x:f>C17*F17</x:f>
        <x:v>400000000</x:v>
      </x:c>
      <x:c r="H17" s="185" t="n">
        <x:f>IF($A17="Low",'Inputs'!$C$32,IF($A17="Base",'Inputs'!$C$33,'Inputs'!$C$34))</x:f>
        <x:v>20</x:v>
      </x:c>
      <x:c r="I17" s="183" t="n">
        <x:f>IF(E17&gt;0,E17*H17,0)</x:f>
        <x:v>0</x:v>
      </x:c>
      <x:c r="J17" s="183" t="n">
        <x:f>IF(E17&gt;0,'Inputs'!$B$25*G17+(1-'Inputs'!$B$25)*I17,G17)</x:f>
        <x:v>400000000</x:v>
      </x:c>
      <x:c r="K17" s="183" t="n">
        <x:f>'Inputs'!$B$24</x:f>
        <x:v>100000000</x:v>
      </x:c>
      <x:c r="L17" s="183" t="n">
        <x:f>J17+K17</x:f>
        <x:v>500000000</x:v>
      </x:c>
      <x:c r="M17" s="183" t="n">
        <x:f>IF('Inputs'!$B$26="Post-Seed",'Cap Table'!$C$26,IF('Inputs'!$B$26="Post-A",'Cap Table'!$D$26,'Cap Table'!$E$26))</x:f>
        <x:v>1219512.1951219512</x:v>
      </x:c>
      <x:c r="N17" s="228" t="n">
        <x:f>L17/M17</x:f>
        <x:v>410</x:v>
      </x:c>
      <x:c r="O17" s="186" t="n">
        <x:f>'Inputs'!$B$9/(L17+'Inputs'!$B$9)</x:f>
        <x:v>0.16666666666666666</x:v>
      </x:c>
    </x:row>
    <x:row r="18" ht="15" hidden="0" customHeight="1">
      <x:c r="A18" s="167" t="str">
        <x:v>Base</x:v>
      </x:c>
      <x:c r="B18" s="182" t="n">
        <x:f>'Inputs'!A39</x:f>
        <x:v>2028</x:v>
      </x:c>
      <x:c r="C18" s="183" t="n">
        <x:f>'Inputs'!B39</x:f>
        <x:v>150000000</x:v>
      </x:c>
      <x:c r="D18" s="184" t="n">
        <x:f>'Inputs'!C39</x:f>
        <x:v>0.1</x:v>
      </x:c>
      <x:c r="E18" s="183" t="n">
        <x:f>'Inputs'!D39</x:f>
        <x:v>15000000</x:v>
      </x:c>
      <x:c r="F18" s="185" t="n">
        <x:f>IF($A18="Low",'Inputs'!$B$32,IF($A18="Base",'Inputs'!$B$33,'Inputs'!$B$34))</x:f>
        <x:v>8</x:v>
      </x:c>
      <x:c r="G18" s="183" t="n">
        <x:f>C18*F18</x:f>
        <x:v>1200000000</x:v>
      </x:c>
      <x:c r="H18" s="185" t="n">
        <x:f>IF($A18="Low",'Inputs'!$C$32,IF($A18="Base",'Inputs'!$C$33,'Inputs'!$C$34))</x:f>
        <x:v>20</x:v>
      </x:c>
      <x:c r="I18" s="183" t="n">
        <x:f>IF(E18&gt;0,E18*H18,0)</x:f>
        <x:v>300000000</x:v>
      </x:c>
      <x:c r="J18" s="183" t="n">
        <x:f>IF(E18&gt;0,'Inputs'!$B$25*G18+(1-'Inputs'!$B$25)*I18,G18)</x:f>
        <x:v>750000000</x:v>
      </x:c>
      <x:c r="K18" s="183" t="n">
        <x:f>'Inputs'!$B$24</x:f>
        <x:v>100000000</x:v>
      </x:c>
      <x:c r="L18" s="183" t="n">
        <x:f>J18+K18</x:f>
        <x:v>850000000</x:v>
      </x:c>
      <x:c r="M18" s="183" t="n">
        <x:f>IF('Inputs'!$B$26="Post-Seed",'Cap Table'!$C$26,IF('Inputs'!$B$26="Post-A",'Cap Table'!$D$26,'Cap Table'!$E$26))</x:f>
        <x:v>1219512.1951219512</x:v>
      </x:c>
      <x:c r="N18" s="228" t="n">
        <x:f>L18/M18</x:f>
        <x:v>697</x:v>
      </x:c>
      <x:c r="O18" s="186" t="n">
        <x:f>'Inputs'!$B$9/(L18+'Inputs'!$B$9)</x:f>
        <x:v>0.10526315789473684</x:v>
      </x:c>
    </x:row>
    <x:row r="19" ht="15" hidden="0" customHeight="1">
      <x:c r="A19" s="167" t="str">
        <x:v>Base</x:v>
      </x:c>
      <x:c r="B19" s="182" t="n">
        <x:f>'Inputs'!A40</x:f>
        <x:v>2029</x:v>
      </x:c>
      <x:c r="C19" s="183" t="n">
        <x:f>'Inputs'!B40</x:f>
        <x:v>400000000</x:v>
      </x:c>
      <x:c r="D19" s="184" t="n">
        <x:f>'Inputs'!C40</x:f>
        <x:v>0.2</x:v>
      </x:c>
      <x:c r="E19" s="183" t="n">
        <x:f>'Inputs'!D40</x:f>
        <x:v>80000000</x:v>
      </x:c>
      <x:c r="F19" s="185" t="n">
        <x:f>IF($A19="Low",'Inputs'!$B$32,IF($A19="Base",'Inputs'!$B$33,'Inputs'!$B$34))</x:f>
        <x:v>8</x:v>
      </x:c>
      <x:c r="G19" s="183" t="n">
        <x:f>C19*F19</x:f>
        <x:v>3200000000</x:v>
      </x:c>
      <x:c r="H19" s="185" t="n">
        <x:f>IF($A19="Low",'Inputs'!$C$32,IF($A19="Base",'Inputs'!$C$33,'Inputs'!$C$34))</x:f>
        <x:v>20</x:v>
      </x:c>
      <x:c r="I19" s="183" t="n">
        <x:f>IF(E19&gt;0,E19*H19,0)</x:f>
        <x:v>1600000000</x:v>
      </x:c>
      <x:c r="J19" s="183" t="n">
        <x:f>IF(E19&gt;0,'Inputs'!$B$25*G19+(1-'Inputs'!$B$25)*I19,G19)</x:f>
        <x:v>2400000000</x:v>
      </x:c>
      <x:c r="K19" s="183" t="n">
        <x:f>'Inputs'!$B$24</x:f>
        <x:v>100000000</x:v>
      </x:c>
      <x:c r="L19" s="183" t="n">
        <x:f>J19+K19</x:f>
        <x:v>2500000000</x:v>
      </x:c>
      <x:c r="M19" s="183" t="n">
        <x:f>IF('Inputs'!$B$26="Post-Seed",'Cap Table'!$C$26,IF('Inputs'!$B$26="Post-A",'Cap Table'!$D$26,'Cap Table'!$E$26))</x:f>
        <x:v>1219512.1951219512</x:v>
      </x:c>
      <x:c r="N19" s="228" t="n">
        <x:f>L19/M19</x:f>
        <x:v>2050</x:v>
      </x:c>
      <x:c r="O19" s="186" t="n">
        <x:f>'Inputs'!$B$9/(L19+'Inputs'!$B$9)</x:f>
        <x:v>0.038461538461538464</x:v>
      </x:c>
    </x:row>
    <x:row r="20" ht="15" hidden="0" customHeight="1">
      <x:c r="A20" s="167" t="str">
        <x:v>Base</x:v>
      </x:c>
      <x:c r="B20" s="182" t="n">
        <x:f>'Inputs'!A41</x:f>
        <x:v>2030</x:v>
      </x:c>
      <x:c r="C20" s="183" t="n">
        <x:f>'Inputs'!B41</x:f>
        <x:v>800000000</x:v>
      </x:c>
      <x:c r="D20" s="184" t="n">
        <x:f>'Inputs'!C41</x:f>
        <x:v>0.3</x:v>
      </x:c>
      <x:c r="E20" s="183" t="n">
        <x:f>'Inputs'!D41</x:f>
        <x:v>240000000</x:v>
      </x:c>
      <x:c r="F20" s="185" t="n">
        <x:f>IF($A20="Low",'Inputs'!$B$32,IF($A20="Base",'Inputs'!$B$33,'Inputs'!$B$34))</x:f>
        <x:v>8</x:v>
      </x:c>
      <x:c r="G20" s="183" t="n">
        <x:f>C20*F20</x:f>
        <x:v>6400000000</x:v>
      </x:c>
      <x:c r="H20" s="185" t="n">
        <x:f>IF($A20="Low",'Inputs'!$C$32,IF($A20="Base",'Inputs'!$C$33,'Inputs'!$C$34))</x:f>
        <x:v>20</x:v>
      </x:c>
      <x:c r="I20" s="183" t="n">
        <x:f>IF(E20&gt;0,E20*H20,0)</x:f>
        <x:v>4800000000</x:v>
      </x:c>
      <x:c r="J20" s="183" t="n">
        <x:f>IF(E20&gt;0,'Inputs'!$B$25*G20+(1-'Inputs'!$B$25)*I20,G20)</x:f>
        <x:v>5600000000</x:v>
      </x:c>
      <x:c r="K20" s="183" t="n">
        <x:f>'Inputs'!$B$24</x:f>
        <x:v>100000000</x:v>
      </x:c>
      <x:c r="L20" s="183" t="n">
        <x:f>J20+K20</x:f>
        <x:v>5700000000</x:v>
      </x:c>
      <x:c r="M20" s="183" t="n">
        <x:f>IF('Inputs'!$B$26="Post-Seed",'Cap Table'!$C$26,IF('Inputs'!$B$26="Post-A",'Cap Table'!$D$26,'Cap Table'!$E$26))</x:f>
        <x:v>1219512.1951219512</x:v>
      </x:c>
      <x:c r="N20" s="228" t="n">
        <x:f>L20/M20</x:f>
        <x:v>4674</x:v>
      </x:c>
      <x:c r="O20" s="186" t="n">
        <x:f>'Inputs'!$B$9/(L20+'Inputs'!$B$9)</x:f>
        <x:v>0.017241379310344827</x:v>
      </x:c>
    </x:row>
    <x:row r="21" ht="15" hidden="0" customHeight="1">
      <x:c r="A21" s="167" t="str">
        <x:v>High</x:v>
      </x:c>
      <x:c r="B21" s="182" t="n">
        <x:f>'Inputs'!A38</x:f>
        <x:v>2027</x:v>
      </x:c>
      <x:c r="C21" s="183" t="n">
        <x:f>'Inputs'!B38</x:f>
        <x:v>50000000</x:v>
      </x:c>
      <x:c r="D21" s="184" t="n">
        <x:f>'Inputs'!C38</x:f>
        <x:v>0</x:v>
      </x:c>
      <x:c r="E21" s="183" t="n">
        <x:f>'Inputs'!D38</x:f>
        <x:v>0</x:v>
      </x:c>
      <x:c r="F21" s="185" t="n">
        <x:f>IF($A21="Low",'Inputs'!$B$32,IF($A21="Base",'Inputs'!$B$33,'Inputs'!$B$34))</x:f>
        <x:v>12</x:v>
      </x:c>
      <x:c r="G21" s="183" t="n">
        <x:f>C21*F21</x:f>
        <x:v>600000000</x:v>
      </x:c>
      <x:c r="H21" s="185" t="n">
        <x:f>IF($A21="Low",'Inputs'!$C$32,IF($A21="Base",'Inputs'!$C$33,'Inputs'!$C$34))</x:f>
        <x:v>30</x:v>
      </x:c>
      <x:c r="I21" s="183" t="n">
        <x:f>IF(E21&gt;0,E21*H21,0)</x:f>
        <x:v>0</x:v>
      </x:c>
      <x:c r="J21" s="183" t="n">
        <x:f>IF(E21&gt;0,'Inputs'!$B$25*G21+(1-'Inputs'!$B$25)*I21,G21)</x:f>
        <x:v>600000000</x:v>
      </x:c>
      <x:c r="K21" s="183" t="n">
        <x:f>'Inputs'!$B$24</x:f>
        <x:v>100000000</x:v>
      </x:c>
      <x:c r="L21" s="183" t="n">
        <x:f>J21+K21</x:f>
        <x:v>700000000</x:v>
      </x:c>
      <x:c r="M21" s="183" t="n">
        <x:f>IF('Inputs'!$B$26="Post-Seed",'Cap Table'!$C$26,IF('Inputs'!$B$26="Post-A",'Cap Table'!$D$26,'Cap Table'!$E$26))</x:f>
        <x:v>1219512.1951219512</x:v>
      </x:c>
      <x:c r="N21" s="228" t="n">
        <x:f>L21/M21</x:f>
        <x:v>574</x:v>
      </x:c>
      <x:c r="O21" s="186" t="n">
        <x:f>'Inputs'!$B$9/(L21+'Inputs'!$B$9)</x:f>
        <x:v>0.125</x:v>
      </x:c>
    </x:row>
    <x:row r="22" ht="15" hidden="0" customHeight="1">
      <x:c r="A22" s="167" t="str">
        <x:v>High</x:v>
      </x:c>
      <x:c r="B22" s="182" t="n">
        <x:f>'Inputs'!A39</x:f>
        <x:v>2028</x:v>
      </x:c>
      <x:c r="C22" s="183" t="n">
        <x:f>'Inputs'!B39</x:f>
        <x:v>150000000</x:v>
      </x:c>
      <x:c r="D22" s="184" t="n">
        <x:f>'Inputs'!C39</x:f>
        <x:v>0.1</x:v>
      </x:c>
      <x:c r="E22" s="183" t="n">
        <x:f>'Inputs'!D39</x:f>
        <x:v>15000000</x:v>
      </x:c>
      <x:c r="F22" s="185" t="n">
        <x:f>IF($A22="Low",'Inputs'!$B$32,IF($A22="Base",'Inputs'!$B$33,'Inputs'!$B$34))</x:f>
        <x:v>12</x:v>
      </x:c>
      <x:c r="G22" s="183" t="n">
        <x:f>C22*F22</x:f>
        <x:v>1800000000</x:v>
      </x:c>
      <x:c r="H22" s="185" t="n">
        <x:f>IF($A22="Low",'Inputs'!$C$32,IF($A22="Base",'Inputs'!$C$33,'Inputs'!$C$34))</x:f>
        <x:v>30</x:v>
      </x:c>
      <x:c r="I22" s="183" t="n">
        <x:f>IF(E22&gt;0,E22*H22,0)</x:f>
        <x:v>450000000</x:v>
      </x:c>
      <x:c r="J22" s="183" t="n">
        <x:f>IF(E22&gt;0,'Inputs'!$B$25*G22+(1-'Inputs'!$B$25)*I22,G22)</x:f>
        <x:v>1125000000</x:v>
      </x:c>
      <x:c r="K22" s="183" t="n">
        <x:f>'Inputs'!$B$24</x:f>
        <x:v>100000000</x:v>
      </x:c>
      <x:c r="L22" s="183" t="n">
        <x:f>J22+K22</x:f>
        <x:v>1225000000</x:v>
      </x:c>
      <x:c r="M22" s="183" t="n">
        <x:f>IF('Inputs'!$B$26="Post-Seed",'Cap Table'!$C$26,IF('Inputs'!$B$26="Post-A",'Cap Table'!$D$26,'Cap Table'!$E$26))</x:f>
        <x:v>1219512.1951219512</x:v>
      </x:c>
      <x:c r="N22" s="228" t="n">
        <x:f>L22/M22</x:f>
        <x:v>1004.5</x:v>
      </x:c>
      <x:c r="O22" s="186" t="n">
        <x:f>'Inputs'!$B$9/(L22+'Inputs'!$B$9)</x:f>
        <x:v>0.07547169811320754</x:v>
      </x:c>
    </x:row>
    <x:row r="23" ht="15" hidden="0" customHeight="1">
      <x:c r="A23" s="167" t="str">
        <x:v>High</x:v>
      </x:c>
      <x:c r="B23" s="182" t="n">
        <x:f>'Inputs'!A40</x:f>
        <x:v>2029</x:v>
      </x:c>
      <x:c r="C23" s="183" t="n">
        <x:f>'Inputs'!B40</x:f>
        <x:v>400000000</x:v>
      </x:c>
      <x:c r="D23" s="184" t="n">
        <x:f>'Inputs'!C40</x:f>
        <x:v>0.2</x:v>
      </x:c>
      <x:c r="E23" s="183" t="n">
        <x:f>'Inputs'!D40</x:f>
        <x:v>80000000</x:v>
      </x:c>
      <x:c r="F23" s="185" t="n">
        <x:f>IF($A23="Low",'Inputs'!$B$32,IF($A23="Base",'Inputs'!$B$33,'Inputs'!$B$34))</x:f>
        <x:v>12</x:v>
      </x:c>
      <x:c r="G23" s="183" t="n">
        <x:f>C23*F23</x:f>
        <x:v>4800000000</x:v>
      </x:c>
      <x:c r="H23" s="185" t="n">
        <x:f>IF($A23="Low",'Inputs'!$C$32,IF($A23="Base",'Inputs'!$C$33,'Inputs'!$C$34))</x:f>
        <x:v>30</x:v>
      </x:c>
      <x:c r="I23" s="183" t="n">
        <x:f>IF(E23&gt;0,E23*H23,0)</x:f>
        <x:v>2400000000</x:v>
      </x:c>
      <x:c r="J23" s="183" t="n">
        <x:f>IF(E23&gt;0,'Inputs'!$B$25*G23+(1-'Inputs'!$B$25)*I23,G23)</x:f>
        <x:v>3600000000</x:v>
      </x:c>
      <x:c r="K23" s="183" t="n">
        <x:f>'Inputs'!$B$24</x:f>
        <x:v>100000000</x:v>
      </x:c>
      <x:c r="L23" s="183" t="n">
        <x:f>J23+K23</x:f>
        <x:v>3700000000</x:v>
      </x:c>
      <x:c r="M23" s="183" t="n">
        <x:f>IF('Inputs'!$B$26="Post-Seed",'Cap Table'!$C$26,IF('Inputs'!$B$26="Post-A",'Cap Table'!$D$26,'Cap Table'!$E$26))</x:f>
        <x:v>1219512.1951219512</x:v>
      </x:c>
      <x:c r="N23" s="228" t="n">
        <x:f>L23/M23</x:f>
        <x:v>3034</x:v>
      </x:c>
      <x:c r="O23" s="186" t="n">
        <x:f>'Inputs'!$B$9/(L23+'Inputs'!$B$9)</x:f>
        <x:v>0.02631578947368421</x:v>
      </x:c>
    </x:row>
    <x:row r="24" ht="15" hidden="0" customHeight="1">
      <x:c r="A24" s="167" t="str">
        <x:v>High</x:v>
      </x:c>
      <x:c r="B24" s="187" t="n">
        <x:f>'Inputs'!A41</x:f>
        <x:v>2030</x:v>
      </x:c>
      <x:c r="C24" s="188" t="n">
        <x:f>'Inputs'!B41</x:f>
        <x:v>800000000</x:v>
      </x:c>
      <x:c r="D24" s="189" t="n">
        <x:f>'Inputs'!C41</x:f>
        <x:v>0.3</x:v>
      </x:c>
      <x:c r="E24" s="188" t="n">
        <x:f>'Inputs'!D41</x:f>
        <x:v>240000000</x:v>
      </x:c>
      <x:c r="F24" s="190" t="n">
        <x:f>IF($A24="Low",'Inputs'!$B$32,IF($A24="Base",'Inputs'!$B$33,'Inputs'!$B$34))</x:f>
        <x:v>12</x:v>
      </x:c>
      <x:c r="G24" s="188" t="n">
        <x:f>C24*F24</x:f>
        <x:v>9600000000</x:v>
      </x:c>
      <x:c r="H24" s="190" t="n">
        <x:f>IF($A24="Low",'Inputs'!$C$32,IF($A24="Base",'Inputs'!$C$33,'Inputs'!$C$34))</x:f>
        <x:v>30</x:v>
      </x:c>
      <x:c r="I24" s="188" t="n">
        <x:f>IF(E24&gt;0,E24*H24,0)</x:f>
        <x:v>7200000000</x:v>
      </x:c>
      <x:c r="J24" s="188" t="n">
        <x:f>IF(E24&gt;0,'Inputs'!$B$25*G24+(1-'Inputs'!$B$25)*I24,G24)</x:f>
        <x:v>8400000000</x:v>
      </x:c>
      <x:c r="K24" s="188" t="n">
        <x:f>'Inputs'!$B$24</x:f>
        <x:v>100000000</x:v>
      </x:c>
      <x:c r="L24" s="188" t="n">
        <x:f>J24+K24</x:f>
        <x:v>8500000000</x:v>
      </x:c>
      <x:c r="M24" s="188" t="n">
        <x:f>IF('Inputs'!$B$26="Post-Seed",'Cap Table'!$C$26,IF('Inputs'!$B$26="Post-A",'Cap Table'!$D$26,'Cap Table'!$E$26))</x:f>
        <x:v>1219512.1951219512</x:v>
      </x:c>
      <x:c r="N24" s="258" t="n">
        <x:f>L24/M24</x:f>
        <x:v>6970</x:v>
      </x:c>
      <x:c r="O24" s="191" t="n">
        <x:f>'Inputs'!$B$9/(L24+'Inputs'!$B$9)</x:f>
        <x:v>0.011627906976744186</x:v>
      </x:c>
    </x:row>
    <x:row r="25" ht="15" hidden="0" customHeight="1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</x:row>
    <x:row r="26" ht="15" hidden="0" customHeight="1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</x:row>
    <x:row r="27" ht="15" hidden="0" customHeight="1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</x:row>
    <x:row r="28" ht="15" hidden="0" customHeight="1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</x:row>
    <x:row r="29" ht="15" hidden="0" customHeight="1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</x:row>
    <x:row r="30" ht="15" hidden="0" customHeight="1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</x:row>
    <x:row r="31" ht="15" hidden="0" customHeight="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</x:row>
    <x:row r="32" ht="15" hidden="0" customHeight="1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</x:row>
    <x:row r="33" ht="15" hidden="0" customHeight="1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</x:row>
    <x:row r="34" ht="15" hidden="0" customHeight="1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</x:row>
    <x:row r="35" ht="15" hidden="0" customHeight="1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</x:row>
    <x:row r="36" ht="15" hidden="0" customHeight="1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</x:row>
    <x:row r="37" ht="15" hidden="0" customHeight="1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</x:row>
    <x:row r="38" ht="15" hidden="0" customHeight="1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</x:row>
    <x:row r="39" ht="15" hidden="0" customHeight="1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</x:row>
    <x:row r="40" ht="15" hidden="0" customHeight="1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</x:row>
    <x:row r="41" ht="15" hidden="0" customHeight="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</x:row>
    <x:row r="42" ht="15" hidden="0" customHeight="1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</x:row>
    <x:row r="43" ht="15" hidden="0" customHeight="1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</x:row>
    <x:row r="44" ht="15" hidden="0" customHeight="1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</x:row>
    <x:row r="45" ht="15" hidden="0" customHeight="1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</x:row>
    <x:row r="46" ht="15" hidden="0" customHeight="1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</x:row>
    <x:row r="47" ht="15" hidden="0" customHeight="1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</x:row>
    <x:row r="48" ht="15" hidden="0" customHeight="1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</x:row>
    <x:row r="49" ht="15" hidden="0" customHeight="1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</x:row>
    <x:row r="50" ht="15" hidden="0" customHeight="1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</x:row>
    <x:row r="51" ht="15" hidden="0" customHeight="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</x:row>
    <x:row r="52" ht="15" hidden="0" customHeight="1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</x:row>
    <x:row r="53" ht="15" hidden="0" customHeight="1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</x:row>
    <x:row r="54" ht="15" hidden="0" customHeight="1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</x:row>
    <x:row r="55" ht="15" hidden="0" customHeight="1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</x:row>
    <x:row r="56" ht="15" hidden="0" customHeight="1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</x:row>
    <x:row r="57" ht="15" hidden="0" customHeight="1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</x:row>
    <x:row r="58" ht="15" hidden="0" customHeight="1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</x:row>
    <x:row r="59" ht="15" hidden="0" customHeight="1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</x:row>
    <x:row r="60" ht="15" hidden="0" customHeight="1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</x:row>
    <x:row r="61" ht="15" hidden="0" customHeight="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</x:row>
    <x:row r="62" ht="15" hidden="0" customHeight="1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</x:row>
    <x:row r="63" ht="15" hidden="0" customHeight="1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</x:row>
    <x:row r="64" ht="15" hidden="0" customHeight="1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</x:row>
    <x:row r="65" ht="15" hidden="0" customHeight="1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</x:row>
    <x:row r="66" ht="15" hidden="0" customHeight="1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</x:row>
    <x:row r="67" ht="15" hidden="0" customHeight="1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</x:row>
    <x:row r="68" ht="15" hidden="0" customHeight="1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</x:row>
    <x:row r="69" ht="15" hidden="0" customHeight="1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</x:row>
    <x:row r="70" ht="15" hidden="0" customHeight="1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</x:row>
    <x:row r="71" ht="15" hidden="0" customHeight="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</x:row>
    <x:row r="72" ht="15" hidden="0" customHeight="1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</x:row>
    <x:row r="73" ht="15" hidden="0" customHeight="1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</x:row>
    <x:row r="74" ht="15" hidden="0" customHeight="1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</x:row>
    <x:row r="75" ht="15" hidden="0" customHeight="1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</x:row>
    <x:row r="76" ht="15" hidden="0" customHeight="1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</x:row>
    <x:row r="77" ht="15" hidden="0" customHeight="1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</x:row>
    <x:row r="78" ht="15" hidden="0" customHeight="1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</x:row>
    <x:row r="79" ht="15" hidden="0" customHeight="1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</x:row>
    <x:row r="80" ht="15" hidden="0" customHeight="1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</x:row>
    <x:row r="81" ht="15" hidden="0" customHeight="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</x:row>
    <x:row r="82" ht="15" hidden="0" customHeight="1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</x:row>
    <x:row r="83" ht="15" hidden="0" customHeight="1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</x:row>
    <x:row r="84" ht="15" hidden="0" customHeight="1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</x:row>
    <x:row r="85" ht="15" hidden="0" customHeight="1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</x:row>
    <x:row r="86" ht="15" hidden="0" customHeight="1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</x:row>
    <x:row r="87" ht="15" hidden="0" customHeight="1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</x:row>
    <x:row r="88" ht="15" hidden="0" customHeight="1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</x:row>
    <x:row r="89" ht="15" hidden="0" customHeight="1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</x:row>
    <x:row r="90" ht="15" hidden="0" customHeight="1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</x:row>
    <x:row r="91" ht="15" hidden="0" customHeight="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</x:row>
    <x:row r="92" ht="15" hidden="0" customHeight="1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</x:row>
    <x:row r="93" ht="15" hidden="0" customHeight="1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</x:row>
    <x:row r="94" ht="15" hidden="0" customHeight="1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</x:row>
    <x:row r="95" ht="15" hidden="0" customHeight="1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</x:row>
    <x:row r="96" ht="15" hidden="0" customHeight="1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</x:row>
    <x:row r="97" ht="15" hidden="0" customHeight="1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</x:row>
    <x:row r="98" ht="15" hidden="0" customHeight="1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</x:row>
    <x:row r="99" ht="15" hidden="0" customHeight="1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</x:row>
    <x:row r="100" ht="15" hidden="0" customHeight="1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</x:row>
    <x:row r="101" ht="15" hidden="0" customHeight="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</x:row>
    <x:row r="102" ht="15" hidden="0" customHeight="1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</x:row>
    <x:row r="103" ht="15" hidden="0" customHeight="1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</x:row>
    <x:row r="104" ht="15" hidden="0" customHeight="1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</x:row>
    <x:row r="105" ht="15" hidden="0" customHeight="1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</x:row>
    <x:row r="106" ht="15" hidden="0" customHeight="1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</x:row>
    <x:row r="107" ht="15" hidden="0" customHeight="1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</x:row>
    <x:row r="108" ht="15" hidden="0" customHeight="1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</x:row>
    <x:row r="109" ht="15" hidden="0" customHeight="1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</x:row>
    <x:row r="110" ht="15" hidden="0" customHeight="1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</x:row>
    <x:row r="111" ht="15" hidden="0" customHeight="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</x:row>
    <x:row r="112" ht="15" hidden="0" customHeight="1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</x:row>
    <x:row r="113" ht="15" hidden="0" customHeight="1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</x:row>
    <x:row r="114" ht="15" hidden="0" customHeight="1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</x:row>
    <x:row r="115" ht="15" hidden="0" customHeight="1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</x:row>
    <x:row r="116" ht="15" hidden="0" customHeight="1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</x:row>
    <x:row r="117" ht="15" hidden="0" customHeight="1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</x:row>
    <x:row r="118" ht="15" hidden="0" customHeight="1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</x:row>
    <x:row r="119" ht="15" hidden="0" customHeight="1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</x:row>
    <x:row r="120" ht="15" hidden="0" customHeight="1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</x:row>
  </x:sheetData>
  <x:mergeCells>
    <x:mergeCell ref="A1:N1"/>
    <x:mergeCell ref="A3:H3"/>
    <x:mergeCell ref="A11:N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28.889999389648438" hidden="0" customWidth="1"/>
  </x:cols>
  <x:sheetData>
    <x:row r="1" ht="16.799999237060547" hidden="0" customHeight="1">
      <x:c r="A1" s="166" t="str">
        <x:v>Sensitivity Scenarios</x:v>
      </x:c>
      <x:c r="B1" s="166" t="str">
        <x:v>Sensitivity Scenarios</x:v>
      </x:c>
      <x:c r="C1" s="166" t="str">
        <x:v>Sensitivity Scenarios</x:v>
      </x:c>
      <x:c r="D1" s="166" t="str">
        <x:v>Sensitivity Scenarios</x:v>
      </x:c>
      <x:c r="E1" s="166" t="str">
        <x:v>Sensitivity Scenarios</x:v>
      </x:c>
      <x:c r="F1" s="166" t="str">
        <x:v>Sensitivity Scenarios</x:v>
      </x:c>
      <x:c r="G1" s="166" t="str">
        <x:v>Sensitivity Scenarios</x:v>
      </x:c>
      <x:c r="H1" s="167"/>
      <x:c r="I1" s="167"/>
      <x:c r="J1" s="167"/>
      <x:c r="K1" s="167"/>
      <x:c r="L1" s="167"/>
      <x:c r="M1" s="167"/>
      <x:c r="N1" s="167"/>
      <x:c r="O1" s="167"/>
    </x:row>
    <x:row r="2" ht="15" hidden="0" customHeight="1">
      <x:c r="A2" s="167"/>
      <x:c r="B2" s="167"/>
      <x:c r="C2" s="167"/>
      <x:c r="D2" s="167"/>
      <x:c r="E2" s="167"/>
      <x:c r="F2" s="167"/>
      <x:c r="G2" s="167"/>
      <x:c r="H2" s="167"/>
      <x:c r="I2" s="167"/>
      <x:c r="J2" s="167"/>
      <x:c r="K2" s="167"/>
      <x:c r="L2" s="167"/>
      <x:c r="M2" s="167"/>
      <x:c r="N2" s="167"/>
      <x:c r="O2" s="167"/>
    </x:row>
    <x:row r="3" ht="15" hidden="0" customHeight="1">
      <x:c r="A3" s="171" t="str">
        <x:v>Equity Value by Revenue and PSR</x:v>
      </x:c>
      <x:c r="B3" s="171" t="str">
        <x:v>Equity Value by Revenue and PSR</x:v>
      </x:c>
      <x:c r="C3" s="171" t="str">
        <x:v>Equity Value by Revenue and PSR</x:v>
      </x:c>
      <x:c r="D3" s="171" t="str">
        <x:v>Equity Value by Revenue and PSR</x:v>
      </x:c>
      <x:c r="E3" s="171" t="str">
        <x:v>Equity Value by Revenue and PSR</x:v>
      </x:c>
      <x:c r="F3" s="171" t="str">
        <x:v>Equity Value by Revenue and PSR</x:v>
      </x:c>
      <x:c r="G3" s="167"/>
      <x:c r="H3" s="167"/>
      <x:c r="I3" s="167"/>
      <x:c r="J3" s="167"/>
      <x:c r="K3" s="167"/>
      <x:c r="L3" s="167"/>
      <x:c r="M3" s="167"/>
      <x:c r="N3" s="167"/>
      <x:c r="O3" s="167"/>
    </x:row>
    <x:row r="4" ht="15" hidden="0" customHeight="1">
      <x:c r="A4" s="168" t="str">
        <x:v>PSR \ Revenue</x:v>
      </x:c>
      <x:c r="B4" s="259" t="n">
        <x:v>100000000</x:v>
      </x:c>
      <x:c r="C4" s="260" t="n">
        <x:v>250000000</x:v>
      </x:c>
      <x:c r="D4" s="260" t="n">
        <x:v>500000000</x:v>
      </x:c>
      <x:c r="E4" s="260" t="n">
        <x:v>1000000000</x:v>
      </x:c>
      <x:c r="F4" s="261" t="n">
        <x:v>2000000000</x:v>
      </x:c>
      <x:c r="G4" s="167"/>
      <x:c r="H4" s="167"/>
      <x:c r="I4" s="167"/>
      <x:c r="J4" s="167"/>
      <x:c r="K4" s="167"/>
      <x:c r="L4" s="167"/>
      <x:c r="M4" s="167"/>
      <x:c r="N4" s="167"/>
      <x:c r="O4" s="167"/>
    </x:row>
    <x:row r="5" ht="15" hidden="0" customHeight="1">
      <x:c r="A5" s="262" t="n">
        <x:v>4</x:v>
      </x:c>
      <x:c r="B5" s="225" t="n">
        <x:f>B$4*$A5+'Inputs'!$B$24</x:f>
        <x:v>500000000</x:v>
      </x:c>
      <x:c r="C5" s="178" t="n">
        <x:f>C$4*$A5+'Inputs'!$B$24</x:f>
        <x:v>1100000000</x:v>
      </x:c>
      <x:c r="D5" s="178" t="n">
        <x:f>D$4*$A5+'Inputs'!$B$24</x:f>
        <x:v>2100000000</x:v>
      </x:c>
      <x:c r="E5" s="178" t="n">
        <x:f>E$4*$A5+'Inputs'!$B$24</x:f>
        <x:v>4100000000</x:v>
      </x:c>
      <x:c r="F5" s="226" t="n">
        <x:f>F$4*$A5+'Inputs'!$B$24</x:f>
        <x:v>8100000000</x:v>
      </x:c>
      <x:c r="G5" s="167"/>
      <x:c r="H5" s="167"/>
      <x:c r="I5" s="167"/>
      <x:c r="J5" s="167"/>
      <x:c r="K5" s="167"/>
      <x:c r="L5" s="167"/>
      <x:c r="M5" s="167"/>
      <x:c r="N5" s="167"/>
      <x:c r="O5" s="167"/>
    </x:row>
    <x:row r="6" ht="15" hidden="0" customHeight="1">
      <x:c r="A6" s="263" t="n">
        <x:v>6</x:v>
      </x:c>
      <x:c r="B6" s="230" t="n">
        <x:f>B$4*$A6+'Inputs'!$B$24</x:f>
        <x:v>700000000</x:v>
      </x:c>
      <x:c r="C6" s="183" t="n">
        <x:f>C$4*$A6+'Inputs'!$B$24</x:f>
        <x:v>1600000000</x:v>
      </x:c>
      <x:c r="D6" s="183" t="n">
        <x:f>D$4*$A6+'Inputs'!$B$24</x:f>
        <x:v>3100000000</x:v>
      </x:c>
      <x:c r="E6" s="183" t="n">
        <x:f>E$4*$A6+'Inputs'!$B$24</x:f>
        <x:v>6100000000</x:v>
      </x:c>
      <x:c r="F6" s="231" t="n">
        <x:f>F$4*$A6+'Inputs'!$B$24</x:f>
        <x:v>12100000000</x:v>
      </x:c>
      <x:c r="G6" s="167"/>
      <x:c r="H6" s="167"/>
      <x:c r="I6" s="167"/>
      <x:c r="J6" s="167"/>
      <x:c r="K6" s="167"/>
      <x:c r="L6" s="167"/>
      <x:c r="M6" s="167"/>
      <x:c r="N6" s="167"/>
      <x:c r="O6" s="167"/>
    </x:row>
    <x:row r="7" ht="15" hidden="0" customHeight="1">
      <x:c r="A7" s="263" t="n">
        <x:v>8</x:v>
      </x:c>
      <x:c r="B7" s="230" t="n">
        <x:f>B$4*$A7+'Inputs'!$B$24</x:f>
        <x:v>900000000</x:v>
      </x:c>
      <x:c r="C7" s="183" t="n">
        <x:f>C$4*$A7+'Inputs'!$B$24</x:f>
        <x:v>2100000000</x:v>
      </x:c>
      <x:c r="D7" s="183" t="n">
        <x:f>D$4*$A7+'Inputs'!$B$24</x:f>
        <x:v>4100000000</x:v>
      </x:c>
      <x:c r="E7" s="183" t="n">
        <x:f>E$4*$A7+'Inputs'!$B$24</x:f>
        <x:v>8100000000</x:v>
      </x:c>
      <x:c r="F7" s="231" t="n">
        <x:f>F$4*$A7+'Inputs'!$B$24</x:f>
        <x:v>16100000000</x:v>
      </x:c>
      <x:c r="G7" s="167"/>
      <x:c r="H7" s="167"/>
      <x:c r="I7" s="167"/>
      <x:c r="J7" s="167"/>
      <x:c r="K7" s="167"/>
      <x:c r="L7" s="167"/>
      <x:c r="M7" s="167"/>
      <x:c r="N7" s="167"/>
      <x:c r="O7" s="167"/>
    </x:row>
    <x:row r="8" ht="15" hidden="0" customHeight="1">
      <x:c r="A8" s="263" t="n">
        <x:v>10</x:v>
      </x:c>
      <x:c r="B8" s="230" t="n">
        <x:f>B$4*$A8+'Inputs'!$B$24</x:f>
        <x:v>1100000000</x:v>
      </x:c>
      <x:c r="C8" s="183" t="n">
        <x:f>C$4*$A8+'Inputs'!$B$24</x:f>
        <x:v>2600000000</x:v>
      </x:c>
      <x:c r="D8" s="183" t="n">
        <x:f>D$4*$A8+'Inputs'!$B$24</x:f>
        <x:v>5100000000</x:v>
      </x:c>
      <x:c r="E8" s="183" t="n">
        <x:f>E$4*$A8+'Inputs'!$B$24</x:f>
        <x:v>10100000000</x:v>
      </x:c>
      <x:c r="F8" s="231" t="n">
        <x:f>F$4*$A8+'Inputs'!$B$24</x:f>
        <x:v>20100000000</x:v>
      </x:c>
      <x:c r="G8" s="167"/>
      <x:c r="H8" s="167"/>
      <x:c r="I8" s="167"/>
      <x:c r="J8" s="167"/>
      <x:c r="K8" s="167"/>
      <x:c r="L8" s="167"/>
      <x:c r="M8" s="167"/>
      <x:c r="N8" s="167"/>
      <x:c r="O8" s="167"/>
    </x:row>
    <x:row r="9" ht="15" hidden="0" customHeight="1">
      <x:c r="A9" s="263" t="n">
        <x:v>12</x:v>
      </x:c>
      <x:c r="B9" s="230" t="n">
        <x:f>B$4*$A9+'Inputs'!$B$24</x:f>
        <x:v>1300000000</x:v>
      </x:c>
      <x:c r="C9" s="183" t="n">
        <x:f>C$4*$A9+'Inputs'!$B$24</x:f>
        <x:v>3100000000</x:v>
      </x:c>
      <x:c r="D9" s="183" t="n">
        <x:f>D$4*$A9+'Inputs'!$B$24</x:f>
        <x:v>6100000000</x:v>
      </x:c>
      <x:c r="E9" s="183" t="n">
        <x:f>E$4*$A9+'Inputs'!$B$24</x:f>
        <x:v>12100000000</x:v>
      </x:c>
      <x:c r="F9" s="231" t="n">
        <x:f>F$4*$A9+'Inputs'!$B$24</x:f>
        <x:v>24100000000</x:v>
      </x:c>
      <x:c r="G9" s="167"/>
      <x:c r="H9" s="167"/>
      <x:c r="I9" s="167"/>
      <x:c r="J9" s="167"/>
      <x:c r="K9" s="167"/>
      <x:c r="L9" s="167"/>
      <x:c r="M9" s="167"/>
      <x:c r="N9" s="167"/>
      <x:c r="O9" s="167"/>
    </x:row>
    <x:row r="10" ht="15" hidden="0" customHeight="1">
      <x:c r="A10" s="264" t="n">
        <x:v>15</x:v>
      </x:c>
      <x:c r="B10" s="237" t="n">
        <x:f>B$4*$A10+'Inputs'!$B$24</x:f>
        <x:v>1600000000</x:v>
      </x:c>
      <x:c r="C10" s="188" t="n">
        <x:f>C$4*$A10+'Inputs'!$B$24</x:f>
        <x:v>3850000000</x:v>
      </x:c>
      <x:c r="D10" s="188" t="n">
        <x:f>D$4*$A10+'Inputs'!$B$24</x:f>
        <x:v>7600000000</x:v>
      </x:c>
      <x:c r="E10" s="188" t="n">
        <x:f>E$4*$A10+'Inputs'!$B$24</x:f>
        <x:v>15100000000</x:v>
      </x:c>
      <x:c r="F10" s="238" t="n">
        <x:f>F$4*$A10+'Inputs'!$B$24</x:f>
        <x:v>30100000000</x:v>
      </x:c>
      <x:c r="G10" s="167"/>
      <x:c r="H10" s="167"/>
      <x:c r="I10" s="167"/>
      <x:c r="J10" s="167"/>
      <x:c r="K10" s="167"/>
      <x:c r="L10" s="167"/>
      <x:c r="M10" s="167"/>
      <x:c r="N10" s="167"/>
      <x:c r="O10" s="167"/>
    </x:row>
    <x:row r="11" ht="15" hidden="0" customHeight="1">
      <x:c r="A11" s="167"/>
      <x:c r="B11" s="167"/>
      <x:c r="C11" s="167"/>
      <x:c r="D11" s="167"/>
      <x:c r="E11" s="167"/>
      <x:c r="F11" s="167"/>
      <x:c r="G11" s="167"/>
      <x:c r="H11" s="167"/>
      <x:c r="I11" s="167"/>
      <x:c r="J11" s="167"/>
      <x:c r="K11" s="167"/>
      <x:c r="L11" s="167"/>
      <x:c r="M11" s="167"/>
      <x:c r="N11" s="167"/>
      <x:c r="O11" s="167"/>
    </x:row>
    <x:row r="12" ht="15" hidden="0" customHeight="1">
      <x:c r="A12" s="167"/>
      <x:c r="B12" s="167"/>
      <x:c r="C12" s="167"/>
      <x:c r="D12" s="167"/>
      <x:c r="E12" s="167"/>
      <x:c r="F12" s="167"/>
      <x:c r="G12" s="167"/>
      <x:c r="H12" s="167"/>
      <x:c r="I12" s="167"/>
      <x:c r="J12" s="167"/>
      <x:c r="K12" s="167"/>
      <x:c r="L12" s="167"/>
      <x:c r="M12" s="167"/>
      <x:c r="N12" s="167"/>
      <x:c r="O12" s="167"/>
    </x:row>
    <x:row r="13" ht="15" hidden="0" customHeight="1">
      <x:c r="A13" s="171" t="str">
        <x:v>Equity Value by Revenue, Profit Margin, and Profit Multiple</x:v>
      </x:c>
      <x:c r="B13" s="171" t="str">
        <x:v>Equity Value by Revenue, Profit Margin, and Profit Multiple</x:v>
      </x:c>
      <x:c r="C13" s="171" t="str">
        <x:v>Equity Value by Revenue, Profit Margin, and Profit Multiple</x:v>
      </x:c>
      <x:c r="D13" s="171" t="str">
        <x:v>Equity Value by Revenue, Profit Margin, and Profit Multiple</x:v>
      </x:c>
      <x:c r="E13" s="171" t="str">
        <x:v>Equity Value by Revenue, Profit Margin, and Profit Multiple</x:v>
      </x:c>
      <x:c r="F13" s="171" t="str">
        <x:v>Equity Value by Revenue, Profit Margin, and Profit Multiple</x:v>
      </x:c>
      <x:c r="G13" s="167"/>
      <x:c r="H13" s="167"/>
      <x:c r="I13" s="167"/>
      <x:c r="J13" s="167"/>
      <x:c r="K13" s="167"/>
      <x:c r="L13" s="167"/>
      <x:c r="M13" s="167"/>
      <x:c r="N13" s="167"/>
      <x:c r="O13" s="167"/>
    </x:row>
    <x:row r="14" ht="15" hidden="0" customHeight="1">
      <x:c r="A14" s="168" t="str">
        <x:v>Revenue scenario</x:v>
      </x:c>
      <x:c r="B14" s="259" t="n">
        <x:v>100000000</x:v>
      </x:c>
      <x:c r="C14" s="260" t="n">
        <x:v>250000000</x:v>
      </x:c>
      <x:c r="D14" s="260" t="n">
        <x:v>500000000</x:v>
      </x:c>
      <x:c r="E14" s="260" t="n">
        <x:v>1000000000</x:v>
      </x:c>
      <x:c r="F14" s="261" t="n">
        <x:v>2000000000</x:v>
      </x:c>
      <x:c r="G14" s="167"/>
      <x:c r="H14" s="167"/>
      <x:c r="I14" s="167"/>
      <x:c r="J14" s="167"/>
      <x:c r="K14" s="167"/>
      <x:c r="L14" s="167"/>
      <x:c r="M14" s="167"/>
      <x:c r="N14" s="167"/>
      <x:c r="O14" s="167"/>
    </x:row>
    <x:row r="15" ht="15" hidden="0" customHeight="1">
      <x:c r="A15" s="167" t="str">
        <x:v>Profit multiple</x:v>
      </x:c>
      <x:c r="B15" s="265" t="n">
        <x:v>20</x:v>
      </x:c>
      <x:c r="C15" s="167" t="str"/>
      <x:c r="D15" s="167" t="str"/>
      <x:c r="E15" s="167" t="str"/>
      <x:c r="F15" s="167" t="str"/>
      <x:c r="G15" s="167"/>
      <x:c r="H15" s="167"/>
      <x:c r="I15" s="167"/>
      <x:c r="J15" s="167"/>
      <x:c r="K15" s="167"/>
      <x:c r="L15" s="167"/>
      <x:c r="M15" s="167"/>
      <x:c r="N15" s="167"/>
      <x:c r="O15" s="167"/>
    </x:row>
    <x:row r="16" ht="15" hidden="0" customHeight="1">
      <x:c r="A16" s="167" t="str">
        <x:v>Profit margin \ Revenue</x:v>
      </x:c>
      <x:c r="B16" s="167"/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</x:row>
    <x:row r="17" ht="15" hidden="0" customHeight="1">
      <x:c r="A17" s="266" t="n">
        <x:v>0.05</x:v>
      </x:c>
      <x:c r="B17" s="225" t="n">
        <x:f>B$14*$A17*$B$15+'Inputs'!$B$24</x:f>
        <x:v>200000000</x:v>
      </x:c>
      <x:c r="C17" s="178" t="n">
        <x:f>C$14*$A17*$B$15+'Inputs'!$B$24</x:f>
        <x:v>350000000</x:v>
      </x:c>
      <x:c r="D17" s="178" t="n">
        <x:f>D$14*$A17*$B$15+'Inputs'!$B$24</x:f>
        <x:v>600000000</x:v>
      </x:c>
      <x:c r="E17" s="178" t="n">
        <x:f>E$14*$A17*$B$15+'Inputs'!$B$24</x:f>
        <x:v>1100000000</x:v>
      </x:c>
      <x:c r="F17" s="226" t="n">
        <x:f>F$14*$A17*$B$15+'Inputs'!$B$24</x:f>
        <x:v>2100000000</x:v>
      </x:c>
      <x:c r="G17" s="167"/>
      <x:c r="H17" s="167"/>
      <x:c r="I17" s="167"/>
      <x:c r="J17" s="167"/>
      <x:c r="K17" s="167"/>
      <x:c r="L17" s="167"/>
      <x:c r="M17" s="167"/>
      <x:c r="N17" s="167"/>
      <x:c r="O17" s="167"/>
    </x:row>
    <x:row r="18" ht="15" hidden="0" customHeight="1">
      <x:c r="A18" s="205" t="n">
        <x:v>0.1</x:v>
      </x:c>
      <x:c r="B18" s="230" t="n">
        <x:f>B$14*$A18*$B$15+'Inputs'!$B$24</x:f>
        <x:v>300000000</x:v>
      </x:c>
      <x:c r="C18" s="183" t="n">
        <x:f>C$14*$A18*$B$15+'Inputs'!$B$24</x:f>
        <x:v>600000000</x:v>
      </x:c>
      <x:c r="D18" s="183" t="n">
        <x:f>D$14*$A18*$B$15+'Inputs'!$B$24</x:f>
        <x:v>1100000000</x:v>
      </x:c>
      <x:c r="E18" s="183" t="n">
        <x:f>E$14*$A18*$B$15+'Inputs'!$B$24</x:f>
        <x:v>2100000000</x:v>
      </x:c>
      <x:c r="F18" s="231" t="n">
        <x:f>F$14*$A18*$B$15+'Inputs'!$B$24</x:f>
        <x:v>4100000000</x:v>
      </x:c>
      <x:c r="G18" s="167"/>
      <x:c r="H18" s="167"/>
      <x:c r="I18" s="167"/>
      <x:c r="J18" s="167"/>
      <x:c r="K18" s="167"/>
      <x:c r="L18" s="167"/>
      <x:c r="M18" s="167"/>
      <x:c r="N18" s="167"/>
      <x:c r="O18" s="167"/>
    </x:row>
    <x:row r="19" ht="15" hidden="0" customHeight="1">
      <x:c r="A19" s="205" t="n">
        <x:v>0.2</x:v>
      </x:c>
      <x:c r="B19" s="230" t="n">
        <x:f>B$14*$A19*$B$15+'Inputs'!$B$24</x:f>
        <x:v>500000000</x:v>
      </x:c>
      <x:c r="C19" s="183" t="n">
        <x:f>C$14*$A19*$B$15+'Inputs'!$B$24</x:f>
        <x:v>1100000000</x:v>
      </x:c>
      <x:c r="D19" s="183" t="n">
        <x:f>D$14*$A19*$B$15+'Inputs'!$B$24</x:f>
        <x:v>2100000000</x:v>
      </x:c>
      <x:c r="E19" s="183" t="n">
        <x:f>E$14*$A19*$B$15+'Inputs'!$B$24</x:f>
        <x:v>4100000000</x:v>
      </x:c>
      <x:c r="F19" s="231" t="n">
        <x:f>F$14*$A19*$B$15+'Inputs'!$B$24</x:f>
        <x:v>8100000000</x:v>
      </x:c>
      <x:c r="G19" s="167"/>
      <x:c r="H19" s="167"/>
      <x:c r="I19" s="167"/>
      <x:c r="J19" s="167"/>
      <x:c r="K19" s="167"/>
      <x:c r="L19" s="167"/>
      <x:c r="M19" s="167"/>
      <x:c r="N19" s="167"/>
      <x:c r="O19" s="167"/>
    </x:row>
    <x:row r="20" ht="15" hidden="0" customHeight="1">
      <x:c r="A20" s="205" t="n">
        <x:v>0.3</x:v>
      </x:c>
      <x:c r="B20" s="230" t="n">
        <x:f>B$14*$A20*$B$15+'Inputs'!$B$24</x:f>
        <x:v>700000000</x:v>
      </x:c>
      <x:c r="C20" s="183" t="n">
        <x:f>C$14*$A20*$B$15+'Inputs'!$B$24</x:f>
        <x:v>1600000000</x:v>
      </x:c>
      <x:c r="D20" s="183" t="n">
        <x:f>D$14*$A20*$B$15+'Inputs'!$B$24</x:f>
        <x:v>3100000000</x:v>
      </x:c>
      <x:c r="E20" s="183" t="n">
        <x:f>E$14*$A20*$B$15+'Inputs'!$B$24</x:f>
        <x:v>6100000000</x:v>
      </x:c>
      <x:c r="F20" s="231" t="n">
        <x:f>F$14*$A20*$B$15+'Inputs'!$B$24</x:f>
        <x:v>12100000000</x:v>
      </x:c>
      <x:c r="G20" s="167"/>
      <x:c r="H20" s="167"/>
      <x:c r="I20" s="167"/>
      <x:c r="J20" s="167"/>
      <x:c r="K20" s="167"/>
      <x:c r="L20" s="167"/>
      <x:c r="M20" s="167"/>
      <x:c r="N20" s="167"/>
      <x:c r="O20" s="167"/>
    </x:row>
    <x:row r="21" ht="15" hidden="0" customHeight="1">
      <x:c r="A21" s="205" t="n">
        <x:v>0.4</x:v>
      </x:c>
      <x:c r="B21" s="230" t="n">
        <x:f>B$14*$A21*$B$15+'Inputs'!$B$24</x:f>
        <x:v>900000000</x:v>
      </x:c>
      <x:c r="C21" s="183" t="n">
        <x:f>C$14*$A21*$B$15+'Inputs'!$B$24</x:f>
        <x:v>2100000000</x:v>
      </x:c>
      <x:c r="D21" s="183" t="n">
        <x:f>D$14*$A21*$B$15+'Inputs'!$B$24</x:f>
        <x:v>4100000000</x:v>
      </x:c>
      <x:c r="E21" s="183" t="n">
        <x:f>E$14*$A21*$B$15+'Inputs'!$B$24</x:f>
        <x:v>8100000000</x:v>
      </x:c>
      <x:c r="F21" s="231" t="n">
        <x:f>F$14*$A21*$B$15+'Inputs'!$B$24</x:f>
        <x:v>16100000000</x:v>
      </x:c>
      <x:c r="G21" s="167"/>
      <x:c r="H21" s="167"/>
      <x:c r="I21" s="167"/>
      <x:c r="J21" s="167"/>
      <x:c r="K21" s="167"/>
      <x:c r="L21" s="167"/>
      <x:c r="M21" s="167"/>
      <x:c r="N21" s="167"/>
      <x:c r="O21" s="167"/>
    </x:row>
    <x:row r="22" ht="15" hidden="0" customHeight="1">
      <x:c r="A22" s="207" t="n">
        <x:v>0.5</x:v>
      </x:c>
      <x:c r="B22" s="237" t="n">
        <x:f>B$14*$A22*$B$15+'Inputs'!$B$24</x:f>
        <x:v>1100000000</x:v>
      </x:c>
      <x:c r="C22" s="188" t="n">
        <x:f>C$14*$A22*$B$15+'Inputs'!$B$24</x:f>
        <x:v>2600000000</x:v>
      </x:c>
      <x:c r="D22" s="188" t="n">
        <x:f>D$14*$A22*$B$15+'Inputs'!$B$24</x:f>
        <x:v>5100000000</x:v>
      </x:c>
      <x:c r="E22" s="188" t="n">
        <x:f>E$14*$A22*$B$15+'Inputs'!$B$24</x:f>
        <x:v>10100000000</x:v>
      </x:c>
      <x:c r="F22" s="238" t="n">
        <x:f>F$14*$A22*$B$15+'Inputs'!$B$24</x:f>
        <x:v>20100000000</x:v>
      </x:c>
      <x:c r="G22" s="167"/>
      <x:c r="H22" s="167"/>
      <x:c r="I22" s="167"/>
      <x:c r="J22" s="167"/>
      <x:c r="K22" s="167"/>
      <x:c r="L22" s="167"/>
      <x:c r="M22" s="167"/>
      <x:c r="N22" s="167"/>
      <x:c r="O22" s="167"/>
    </x:row>
    <x:row r="23" ht="15" hidden="0" customHeight="1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</x:row>
    <x:row r="24" ht="15" hidden="0" customHeight="1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</x:row>
    <x:row r="25" ht="15" hidden="0" customHeight="1">
      <x:c r="A25" s="171" t="str">
        <x:v>Ownership at JPY 100M Investment by Pre-money Valuation</x:v>
      </x:c>
      <x:c r="B25" s="171" t="str">
        <x:v>Ownership at JPY 100M Investment by Pre-money Valuation</x:v>
      </x:c>
      <x:c r="C25" s="171" t="str">
        <x:v>Ownership at JPY 100M Investment by Pre-money Valuation</x:v>
      </x:c>
      <x:c r="D25" s="171" t="str">
        <x:v>Ownership at JPY 100M Investment by Pre-money Valuation</x:v>
      </x:c>
      <x:c r="E25" s="171" t="str">
        <x:v>Ownership at JPY 100M Investment by Pre-money Valuation</x:v>
      </x:c>
      <x:c r="F25" s="171" t="str">
        <x:v>Ownership at JPY 100M Investment by Pre-money Valuation</x:v>
      </x:c>
      <x:c r="G25" s="167"/>
      <x:c r="H25" s="167"/>
      <x:c r="I25" s="167"/>
      <x:c r="J25" s="167"/>
      <x:c r="K25" s="167"/>
      <x:c r="L25" s="167"/>
      <x:c r="M25" s="167"/>
      <x:c r="N25" s="167"/>
      <x:c r="O25" s="167"/>
    </x:row>
    <x:row r="26" ht="15" hidden="0" customHeight="1">
      <x:c r="A26" s="168" t="str">
        <x:v>Pre-money valuation</x:v>
      </x:c>
      <x:c r="B26" s="259" t="n">
        <x:v>500000000</x:v>
      </x:c>
      <x:c r="C26" s="260" t="n">
        <x:v>1000000000</x:v>
      </x:c>
      <x:c r="D26" s="260" t="n">
        <x:v>1150000000</x:v>
      </x:c>
      <x:c r="E26" s="260" t="n">
        <x:v>1500000000</x:v>
      </x:c>
      <x:c r="F26" s="261" t="n">
        <x:v>2000000000</x:v>
      </x:c>
      <x:c r="G26" s="167"/>
      <x:c r="H26" s="167"/>
      <x:c r="I26" s="167"/>
      <x:c r="J26" s="167"/>
      <x:c r="K26" s="167"/>
      <x:c r="L26" s="167"/>
      <x:c r="M26" s="167"/>
      <x:c r="N26" s="167"/>
      <x:c r="O26" s="167"/>
    </x:row>
    <x:row r="27" ht="15" hidden="0" customHeight="1">
      <x:c r="A27" s="167" t="str">
        <x:v>Investor ownership</x:v>
      </x:c>
      <x:c r="B27" s="247" t="n">
        <x:f>'Inputs'!$B$9/(B26+'Inputs'!$B$9)</x:f>
        <x:v>0.16666666666666666</x:v>
      </x:c>
      <x:c r="C27" s="179" t="n">
        <x:f>'Inputs'!$B$9/(C26+'Inputs'!$B$9)</x:f>
        <x:v>0.09090909090909091</x:v>
      </x:c>
      <x:c r="D27" s="179" t="n">
        <x:f>'Inputs'!$B$9/(D26+'Inputs'!$B$9)</x:f>
        <x:v>0.08</x:v>
      </x:c>
      <x:c r="E27" s="179" t="n">
        <x:f>'Inputs'!$B$9/(E26+'Inputs'!$B$9)</x:f>
        <x:v>0.0625</x:v>
      </x:c>
      <x:c r="F27" s="181" t="n">
        <x:f>'Inputs'!$B$9/(F26+'Inputs'!$B$9)</x:f>
        <x:v>0.047619047619047616</x:v>
      </x:c>
      <x:c r="G27" s="167"/>
      <x:c r="H27" s="167"/>
      <x:c r="I27" s="167"/>
      <x:c r="J27" s="167"/>
      <x:c r="K27" s="167"/>
      <x:c r="L27" s="167"/>
      <x:c r="M27" s="167"/>
      <x:c r="N27" s="167"/>
      <x:c r="O27" s="167"/>
    </x:row>
    <x:row r="28" ht="15" hidden="0" customHeight="1">
      <x:c r="A28" s="167" t="str">
        <x:v>Post-money valuation</x:v>
      </x:c>
      <x:c r="B28" s="237" t="n">
        <x:f>B26+'Inputs'!$B$9</x:f>
        <x:v>600000000</x:v>
      </x:c>
      <x:c r="C28" s="188" t="n">
        <x:f>C26+'Inputs'!$B$9</x:f>
        <x:v>1100000000</x:v>
      </x:c>
      <x:c r="D28" s="188" t="n">
        <x:f>D26+'Inputs'!$B$9</x:f>
        <x:v>1250000000</x:v>
      </x:c>
      <x:c r="E28" s="188" t="n">
        <x:f>E26+'Inputs'!$B$9</x:f>
        <x:v>1600000000</x:v>
      </x:c>
      <x:c r="F28" s="238" t="n">
        <x:f>F26+'Inputs'!$B$9</x:f>
        <x:v>2100000000</x:v>
      </x:c>
      <x:c r="G28" s="167"/>
      <x:c r="H28" s="167"/>
      <x:c r="I28" s="167"/>
      <x:c r="J28" s="167"/>
      <x:c r="K28" s="167"/>
      <x:c r="L28" s="167"/>
      <x:c r="M28" s="167"/>
      <x:c r="N28" s="167"/>
      <x:c r="O28" s="167"/>
    </x:row>
    <x:row r="29" ht="15" hidden="0" customHeight="1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</x:row>
    <x:row r="30" ht="15" hidden="0" customHeight="1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</x:row>
    <x:row r="31" ht="15" hidden="0" customHeight="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</x:row>
    <x:row r="32" ht="15" hidden="0" customHeight="1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</x:row>
    <x:row r="33" ht="15" hidden="0" customHeight="1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</x:row>
    <x:row r="34" ht="15" hidden="0" customHeight="1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</x:row>
    <x:row r="35" ht="15" hidden="0" customHeight="1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</x:row>
    <x:row r="36" ht="15" hidden="0" customHeight="1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</x:row>
    <x:row r="37" ht="15" hidden="0" customHeight="1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</x:row>
    <x:row r="38" ht="15" hidden="0" customHeight="1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</x:row>
    <x:row r="39" ht="15" hidden="0" customHeight="1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</x:row>
    <x:row r="40" ht="15" hidden="0" customHeight="1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</x:row>
    <x:row r="41" ht="15" hidden="0" customHeight="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</x:row>
    <x:row r="42" ht="15" hidden="0" customHeight="1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</x:row>
    <x:row r="43" ht="15" hidden="0" customHeight="1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</x:row>
    <x:row r="44" ht="15" hidden="0" customHeight="1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</x:row>
    <x:row r="45" ht="15" hidden="0" customHeight="1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</x:row>
    <x:row r="46" ht="15" hidden="0" customHeight="1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</x:row>
    <x:row r="47" ht="15" hidden="0" customHeight="1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</x:row>
    <x:row r="48" ht="15" hidden="0" customHeight="1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</x:row>
    <x:row r="49" ht="15" hidden="0" customHeight="1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</x:row>
    <x:row r="50" ht="15" hidden="0" customHeight="1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</x:row>
    <x:row r="51" ht="15" hidden="0" customHeight="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</x:row>
    <x:row r="52" ht="15" hidden="0" customHeight="1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</x:row>
    <x:row r="53" ht="15" hidden="0" customHeight="1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</x:row>
    <x:row r="54" ht="15" hidden="0" customHeight="1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</x:row>
    <x:row r="55" ht="15" hidden="0" customHeight="1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</x:row>
    <x:row r="56" ht="15" hidden="0" customHeight="1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</x:row>
    <x:row r="57" ht="15" hidden="0" customHeight="1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</x:row>
    <x:row r="58" ht="15" hidden="0" customHeight="1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</x:row>
    <x:row r="59" ht="15" hidden="0" customHeight="1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</x:row>
    <x:row r="60" ht="15" hidden="0" customHeight="1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</x:row>
    <x:row r="61" ht="15" hidden="0" customHeight="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</x:row>
    <x:row r="62" ht="15" hidden="0" customHeight="1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</x:row>
    <x:row r="63" ht="15" hidden="0" customHeight="1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</x:row>
    <x:row r="64" ht="15" hidden="0" customHeight="1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</x:row>
    <x:row r="65" ht="15" hidden="0" customHeight="1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</x:row>
    <x:row r="66" ht="15" hidden="0" customHeight="1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</x:row>
    <x:row r="67" ht="15" hidden="0" customHeight="1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</x:row>
    <x:row r="68" ht="15" hidden="0" customHeight="1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</x:row>
    <x:row r="69" ht="15" hidden="0" customHeight="1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</x:row>
    <x:row r="70" ht="15" hidden="0" customHeight="1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</x:row>
    <x:row r="71" ht="15" hidden="0" customHeight="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</x:row>
    <x:row r="72" ht="15" hidden="0" customHeight="1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</x:row>
    <x:row r="73" ht="15" hidden="0" customHeight="1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</x:row>
    <x:row r="74" ht="15" hidden="0" customHeight="1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</x:row>
    <x:row r="75" ht="15" hidden="0" customHeight="1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</x:row>
    <x:row r="76" ht="15" hidden="0" customHeight="1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</x:row>
    <x:row r="77" ht="15" hidden="0" customHeight="1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</x:row>
    <x:row r="78" ht="15" hidden="0" customHeight="1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</x:row>
    <x:row r="79" ht="15" hidden="0" customHeight="1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</x:row>
    <x:row r="80" ht="15" hidden="0" customHeight="1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</x:row>
    <x:row r="81" ht="15" hidden="0" customHeight="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</x:row>
    <x:row r="82" ht="15" hidden="0" customHeight="1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</x:row>
    <x:row r="83" ht="15" hidden="0" customHeight="1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</x:row>
    <x:row r="84" ht="15" hidden="0" customHeight="1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</x:row>
    <x:row r="85" ht="15" hidden="0" customHeight="1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</x:row>
    <x:row r="86" ht="15" hidden="0" customHeight="1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</x:row>
    <x:row r="87" ht="15" hidden="0" customHeight="1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</x:row>
    <x:row r="88" ht="15" hidden="0" customHeight="1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</x:row>
    <x:row r="89" ht="15" hidden="0" customHeight="1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</x:row>
    <x:row r="90" ht="15" hidden="0" customHeight="1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</x:row>
    <x:row r="91" ht="15" hidden="0" customHeight="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</x:row>
    <x:row r="92" ht="15" hidden="0" customHeight="1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</x:row>
    <x:row r="93" ht="15" hidden="0" customHeight="1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</x:row>
    <x:row r="94" ht="15" hidden="0" customHeight="1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</x:row>
    <x:row r="95" ht="15" hidden="0" customHeight="1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</x:row>
    <x:row r="96" ht="15" hidden="0" customHeight="1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</x:row>
    <x:row r="97" ht="15" hidden="0" customHeight="1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</x:row>
    <x:row r="98" ht="15" hidden="0" customHeight="1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</x:row>
    <x:row r="99" ht="15" hidden="0" customHeight="1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</x:row>
    <x:row r="100" ht="15" hidden="0" customHeight="1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</x:row>
    <x:row r="101" ht="15" hidden="0" customHeight="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</x:row>
    <x:row r="102" ht="15" hidden="0" customHeight="1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</x:row>
    <x:row r="103" ht="15" hidden="0" customHeight="1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</x:row>
    <x:row r="104" ht="15" hidden="0" customHeight="1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</x:row>
    <x:row r="105" ht="15" hidden="0" customHeight="1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</x:row>
    <x:row r="106" ht="15" hidden="0" customHeight="1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</x:row>
    <x:row r="107" ht="15" hidden="0" customHeight="1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</x:row>
    <x:row r="108" ht="15" hidden="0" customHeight="1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</x:row>
    <x:row r="109" ht="15" hidden="0" customHeight="1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</x:row>
    <x:row r="110" ht="15" hidden="0" customHeight="1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</x:row>
    <x:row r="111" ht="15" hidden="0" customHeight="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</x:row>
    <x:row r="112" ht="15" hidden="0" customHeight="1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</x:row>
    <x:row r="113" ht="15" hidden="0" customHeight="1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</x:row>
    <x:row r="114" ht="15" hidden="0" customHeight="1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</x:row>
    <x:row r="115" ht="15" hidden="0" customHeight="1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</x:row>
    <x:row r="116" ht="15" hidden="0" customHeight="1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</x:row>
    <x:row r="117" ht="15" hidden="0" customHeight="1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</x:row>
    <x:row r="118" ht="15" hidden="0" customHeight="1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</x:row>
    <x:row r="119" ht="15" hidden="0" customHeight="1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</x:row>
    <x:row r="120" ht="15" hidden="0" customHeight="1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</x:row>
  </x:sheetData>
  <x:mergeCells>
    <x:mergeCell ref="A1:G1"/>
    <x:mergeCell ref="A3:F3"/>
    <x:mergeCell ref="A13:F13"/>
    <x:mergeCell ref="A25:F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3.329999923706055" hidden="0" customWidth="1"/>
    <x:col min="3" max="3" width="13.329999923706055" hidden="0" customWidth="1"/>
    <x:col min="4" max="4" width="11.109999656677246" hidden="0" customWidth="1"/>
    <x:col min="5" max="5" width="10" hidden="0" customWidth="1"/>
    <x:col min="6" max="6" width="10" hidden="0" customWidth="1"/>
    <x:col min="7" max="7" width="51.11000061035156" hidden="0" customWidth="1"/>
  </x:cols>
  <x:sheetData>
    <x:row r="1" ht="16.799999237060547" hidden="0" customHeight="1">
      <x:c r="A1" s="166" t="str">
        <x:v>Model Checks</x:v>
      </x:c>
      <x:c r="B1" s="166" t="str">
        <x:v>Model Checks</x:v>
      </x:c>
      <x:c r="C1" s="166" t="str">
        <x:v>Model Checks</x:v>
      </x:c>
      <x:c r="D1" s="166" t="str">
        <x:v>Model Checks</x:v>
      </x:c>
      <x:c r="E1" s="166" t="str">
        <x:v>Model Checks</x:v>
      </x:c>
      <x:c r="F1" s="166" t="str">
        <x:v>Model Checks</x:v>
      </x:c>
      <x:c r="G1" s="166" t="str">
        <x:v>Model Checks</x:v>
      </x:c>
      <x:c r="H1" s="167"/>
      <x:c r="I1" s="167"/>
      <x:c r="J1" s="167"/>
      <x:c r="K1" s="167"/>
      <x:c r="L1" s="167"/>
      <x:c r="M1" s="167"/>
      <x:c r="N1" s="167"/>
      <x:c r="O1" s="167"/>
    </x:row>
    <x:row r="2" ht="15" hidden="0" customHeight="1">
      <x:c r="A2" s="167"/>
      <x:c r="B2" s="167"/>
      <x:c r="C2" s="167"/>
      <x:c r="D2" s="167"/>
      <x:c r="E2" s="167"/>
      <x:c r="F2" s="167"/>
      <x:c r="G2" s="167"/>
      <x:c r="H2" s="167"/>
      <x:c r="I2" s="167"/>
      <x:c r="J2" s="167"/>
      <x:c r="K2" s="167"/>
      <x:c r="L2" s="167"/>
      <x:c r="M2" s="167"/>
      <x:c r="N2" s="167"/>
      <x:c r="O2" s="167"/>
    </x:row>
    <x:row r="3" ht="15" hidden="0" customHeight="1">
      <x:c r="A3" s="168" t="str">
        <x:v>Check</x:v>
      </x:c>
      <x:c r="B3" s="169" t="str">
        <x:v>Actual</x:v>
      </x:c>
      <x:c r="C3" s="169" t="str">
        <x:v>Expected</x:v>
      </x:c>
      <x:c r="D3" s="169" t="str">
        <x:v>Difference</x:v>
      </x:c>
      <x:c r="E3" s="169" t="str">
        <x:v>Tolerance</x:v>
      </x:c>
      <x:c r="F3" s="169" t="str">
        <x:v>Status</x:v>
      </x:c>
      <x:c r="G3" s="170" t="str">
        <x:v>Notes</x:v>
      </x:c>
      <x:c r="H3" s="167"/>
      <x:c r="I3" s="167"/>
      <x:c r="J3" s="167"/>
      <x:c r="K3" s="167"/>
      <x:c r="L3" s="167"/>
      <x:c r="M3" s="167"/>
      <x:c r="N3" s="167"/>
      <x:c r="O3" s="167"/>
    </x:row>
    <x:row r="4" ht="15" hidden="0" customHeight="1">
      <x:c r="A4" s="167" t="str">
        <x:v>Initial ownership sums to 100%</x:v>
      </x:c>
      <x:c r="B4" s="267" t="n">
        <x:f>'Cap Table'!B36</x:f>
        <x:v>1</x:v>
      </x:c>
      <x:c r="C4" s="268" t="n">
        <x:v>1</x:v>
      </x:c>
      <x:c r="D4" s="268" t="n">
        <x:f>B4-C4</x:f>
        <x:v>0</x:v>
      </x:c>
      <x:c r="E4" s="268" t="n">
        <x:v>0.00001</x:v>
      </x:c>
      <x:c r="F4" s="269" t="str">
        <x:f>IF(ABS(D4)&lt;=E4,"OK","CHECK")</x:f>
        <x:v>OK</x:v>
      </x:c>
      <x:c r="G4" s="167" t="str"/>
      <x:c r="H4" s="167"/>
      <x:c r="I4" s="167"/>
      <x:c r="J4" s="167"/>
      <x:c r="K4" s="167"/>
      <x:c r="L4" s="167"/>
      <x:c r="M4" s="167"/>
      <x:c r="N4" s="167"/>
      <x:c r="O4" s="167"/>
    </x:row>
    <x:row r="5" ht="15" hidden="0" customHeight="1">
      <x:c r="A5" s="167" t="str">
        <x:v>Seed ownership sums to 100%</x:v>
      </x:c>
      <x:c r="B5" s="270" t="n">
        <x:f>'Cap Table'!C36</x:f>
        <x:v>1</x:v>
      </x:c>
      <x:c r="C5" s="271" t="n">
        <x:v>1</x:v>
      </x:c>
      <x:c r="D5" s="271" t="n">
        <x:f>B5-C5</x:f>
        <x:v>0</x:v>
      </x:c>
      <x:c r="E5" s="271" t="n">
        <x:v>0.00001</x:v>
      </x:c>
      <x:c r="F5" s="272" t="str">
        <x:f>IF(ABS(D5)&lt;=E5,"OK","CHECK")</x:f>
        <x:v>OK</x:v>
      </x:c>
      <x:c r="G5" s="167" t="str"/>
      <x:c r="H5" s="167"/>
      <x:c r="I5" s="167"/>
      <x:c r="J5" s="167"/>
      <x:c r="K5" s="167"/>
      <x:c r="L5" s="167"/>
      <x:c r="M5" s="167"/>
      <x:c r="N5" s="167"/>
      <x:c r="O5" s="167"/>
    </x:row>
    <x:row r="6" ht="15" hidden="0" customHeight="1">
      <x:c r="A6" s="167" t="str">
        <x:v>Series A ownership sums to 100%</x:v>
      </x:c>
      <x:c r="B6" s="270" t="n">
        <x:f>'Cap Table'!D36</x:f>
        <x:v>1</x:v>
      </x:c>
      <x:c r="C6" s="271" t="n">
        <x:v>1</x:v>
      </x:c>
      <x:c r="D6" s="271" t="n">
        <x:f>B6-C6</x:f>
        <x:v>0</x:v>
      </x:c>
      <x:c r="E6" s="271" t="n">
        <x:v>0.00001</x:v>
      </x:c>
      <x:c r="F6" s="272" t="str">
        <x:f>IF(ABS(D6)&lt;=E6,"OK","CHECK")</x:f>
        <x:v>OK</x:v>
      </x:c>
      <x:c r="G6" s="167" t="str"/>
      <x:c r="H6" s="167"/>
      <x:c r="I6" s="167"/>
      <x:c r="J6" s="167"/>
      <x:c r="K6" s="167"/>
      <x:c r="L6" s="167"/>
      <x:c r="M6" s="167"/>
      <x:c r="N6" s="167"/>
      <x:c r="O6" s="167"/>
    </x:row>
    <x:row r="7" ht="15" hidden="0" customHeight="1">
      <x:c r="A7" s="167" t="str">
        <x:v>Series B ownership sums to 100%</x:v>
      </x:c>
      <x:c r="B7" s="270" t="n">
        <x:f>'Cap Table'!E36</x:f>
        <x:v>0.9999999999999999</x:v>
      </x:c>
      <x:c r="C7" s="271" t="n">
        <x:v>1</x:v>
      </x:c>
      <x:c r="D7" s="271" t="n">
        <x:f>B7-C7</x:f>
        <x:v>-1.1102230246251565e-16</x:v>
      </x:c>
      <x:c r="E7" s="271" t="n">
        <x:v>0.00001</x:v>
      </x:c>
      <x:c r="F7" s="272" t="str">
        <x:f>IF(ABS(D7)&lt;=E7,"OK","CHECK")</x:f>
        <x:v>OK</x:v>
      </x:c>
      <x:c r="G7" s="167" t="str"/>
      <x:c r="H7" s="167"/>
      <x:c r="I7" s="167"/>
      <x:c r="J7" s="167"/>
      <x:c r="K7" s="167"/>
      <x:c r="L7" s="167"/>
      <x:c r="M7" s="167"/>
      <x:c r="N7" s="167"/>
      <x:c r="O7" s="167"/>
    </x:row>
    <x:row r="8" ht="15" hidden="0" customHeight="1">
      <x:c r="A8" s="167" t="str">
        <x:v>Seed investor ownership matches basis</x:v>
      </x:c>
      <x:c r="B8" s="270" t="n">
        <x:f>'Cap Table'!C32</x:f>
        <x:v>0.08</x:v>
      </x:c>
      <x:c r="C8" s="271" t="n">
        <x:f>IF('Inputs'!B12="After SO pool",'Inputs'!B10,'Inputs'!B10*(1-'Inputs'!B11))</x:f>
        <x:v>0.08</x:v>
      </x:c>
      <x:c r="D8" s="271" t="n">
        <x:f>B8-C8</x:f>
        <x:v>0</x:v>
      </x:c>
      <x:c r="E8" s="271" t="n">
        <x:v>0.00001</x:v>
      </x:c>
      <x:c r="F8" s="272" t="str">
        <x:f>IF(ABS(D8)&lt;=E8,"OK","CHECK")</x:f>
        <x:v>OK</x:v>
      </x:c>
      <x:c r="G8" s="167" t="str">
        <x:v>If basis is Before SO pool, final ownership is diluted by the pool.</x:v>
      </x:c>
      <x:c r="H8" s="167"/>
      <x:c r="I8" s="167"/>
      <x:c r="J8" s="167"/>
      <x:c r="K8" s="167"/>
      <x:c r="L8" s="167"/>
      <x:c r="M8" s="167"/>
      <x:c r="N8" s="167"/>
      <x:c r="O8" s="167"/>
    </x:row>
    <x:row r="9" ht="15" hidden="0" customHeight="1">
      <x:c r="A9" s="167" t="str">
        <x:v>Seed SO pool matches target</x:v>
      </x:c>
      <x:c r="B9" s="270" t="n">
        <x:f>'Cap Table'!C35</x:f>
        <x:v>0.09999999999999999</x:v>
      </x:c>
      <x:c r="C9" s="271" t="n">
        <x:f>'Inputs'!B11</x:f>
        <x:v>0.1</x:v>
      </x:c>
      <x:c r="D9" s="271" t="n">
        <x:f>B9-C9</x:f>
        <x:v>-1.3877787807814457e-17</x:v>
      </x:c>
      <x:c r="E9" s="271" t="n">
        <x:v>0.00001</x:v>
      </x:c>
      <x:c r="F9" s="272" t="str">
        <x:f>IF(ABS(D9)&lt;=E9,"OK","CHECK")</x:f>
        <x:v>OK</x:v>
      </x:c>
      <x:c r="G9" s="167" t="str"/>
      <x:c r="H9" s="167"/>
      <x:c r="I9" s="167"/>
      <x:c r="J9" s="167"/>
      <x:c r="K9" s="167"/>
      <x:c r="L9" s="167"/>
      <x:c r="M9" s="167"/>
      <x:c r="N9" s="167"/>
      <x:c r="O9" s="167"/>
    </x:row>
    <x:row r="10" ht="15" hidden="0" customHeight="1">
      <x:c r="A10" s="167" t="str">
        <x:v>No negative shares</x:v>
      </x:c>
      <x:c r="B10" s="273" t="n">
        <x:f>IF(MIN('Cap Table'!B20:E24)&gt;=0,1,0)</x:f>
        <x:v>1</x:v>
      </x:c>
      <x:c r="C10" s="274" t="n">
        <x:v>1</x:v>
      </x:c>
      <x:c r="D10" s="274" t="n">
        <x:f>B10-C10</x:f>
        <x:v>0</x:v>
      </x:c>
      <x:c r="E10" s="274" t="n">
        <x:v>0.00001</x:v>
      </x:c>
      <x:c r="F10" s="272" t="str">
        <x:f>IF(B10=1,"OK","CHECK")</x:f>
        <x:v>OK</x:v>
      </x:c>
      <x:c r="G10" s="167" t="str"/>
      <x:c r="H10" s="167"/>
      <x:c r="I10" s="167"/>
      <x:c r="J10" s="167"/>
      <x:c r="K10" s="167"/>
      <x:c r="L10" s="167"/>
      <x:c r="M10" s="167"/>
      <x:c r="N10" s="167"/>
      <x:c r="O10" s="167"/>
    </x:row>
    <x:row r="11" ht="15" hidden="0" customHeight="1">
      <x:c r="A11" s="167" t="str">
        <x:v>Post-Seed stated capital &lt;= JPY 50M</x:v>
      </x:c>
      <x:c r="B11" s="273" t="n">
        <x:f>IF('Cap Table'!C14&lt;=50000000,1,0)</x:f>
        <x:v>0</x:v>
      </x:c>
      <x:c r="C11" s="274" t="n">
        <x:v>1</x:v>
      </x:c>
      <x:c r="D11" s="274" t="n">
        <x:f>B11-C11</x:f>
        <x:v>-1</x:v>
      </x:c>
      <x:c r="E11" s="274" t="n">
        <x:v>0.00001</x:v>
      </x:c>
      <x:c r="F11" s="272" t="str">
        <x:f>IF(B11=1,"OK","WARN")</x:f>
        <x:v>WARN</x:v>
      </x:c>
      <x:c r="G11" s="167" t="str">
        <x:v>普通株1億円を半分資本金に入れると設立時100万円込みで5,100万円になります。</x:v>
      </x:c>
      <x:c r="H11" s="167"/>
      <x:c r="I11" s="167"/>
      <x:c r="J11" s="167"/>
      <x:c r="K11" s="167"/>
      <x:c r="L11" s="167"/>
      <x:c r="M11" s="167"/>
      <x:c r="N11" s="167"/>
      <x:c r="O11" s="167"/>
    </x:row>
    <x:row r="12" ht="15" hidden="0" customHeight="1">
      <x:c r="A12" s="167" t="str">
        <x:v>Valuation outputs positive</x:v>
      </x:c>
      <x:c r="B12" s="273" t="n">
        <x:f>IF(MIN('Valuation Sim'!L13:L24)&gt;0,1,0)</x:f>
        <x:v>1</x:v>
      </x:c>
      <x:c r="C12" s="274" t="n">
        <x:v>1</x:v>
      </x:c>
      <x:c r="D12" s="274" t="n">
        <x:f>B12-C12</x:f>
        <x:v>0</x:v>
      </x:c>
      <x:c r="E12" s="274" t="n">
        <x:v>0.00001</x:v>
      </x:c>
      <x:c r="F12" s="272" t="str">
        <x:f>IF(B12=1,"OK","CHECK")</x:f>
        <x:v>OK</x:v>
      </x:c>
      <x:c r="G12" s="167" t="str"/>
      <x:c r="H12" s="167"/>
      <x:c r="I12" s="167"/>
      <x:c r="J12" s="167"/>
      <x:c r="K12" s="167"/>
      <x:c r="L12" s="167"/>
      <x:c r="M12" s="167"/>
      <x:c r="N12" s="167"/>
      <x:c r="O12" s="167"/>
    </x:row>
    <x:row r="13" ht="15" hidden="0" customHeight="1">
      <x:c r="A13" s="167" t="str">
        <x:v>Model status</x:v>
      </x:c>
      <x:c r="B13" s="187"/>
      <x:c r="C13" s="275"/>
      <x:c r="D13" s="275"/>
      <x:c r="E13" s="275"/>
      <x:c r="F13" s="276" t="str">
        <x:f>IF(COUNTIF(F4:F12,"CHECK")=0,"PASS","FAIL")</x:f>
        <x:v>PASS</x:v>
      </x:c>
      <x:c r="G13" s="167" t="str">
        <x:v>PASS means hard checks pass; WARN may still require advisor review.</x:v>
      </x:c>
      <x:c r="H13" s="167"/>
      <x:c r="I13" s="167"/>
      <x:c r="J13" s="167"/>
      <x:c r="K13" s="167"/>
      <x:c r="L13" s="167"/>
      <x:c r="M13" s="167"/>
      <x:c r="N13" s="167"/>
      <x:c r="O13" s="167"/>
    </x:row>
    <x:row r="14" ht="15" hidden="0" customHeight="1">
      <x:c r="A14" s="167"/>
      <x:c r="B14" s="167"/>
      <x:c r="C14" s="167"/>
      <x:c r="D14" s="167"/>
      <x:c r="E14" s="167"/>
      <x:c r="F14" s="167"/>
      <x:c r="G14" s="167"/>
      <x:c r="H14" s="167"/>
      <x:c r="I14" s="167"/>
      <x:c r="J14" s="167"/>
      <x:c r="K14" s="167"/>
      <x:c r="L14" s="167"/>
      <x:c r="M14" s="167"/>
      <x:c r="N14" s="167"/>
      <x:c r="O14" s="167"/>
    </x:row>
    <x:row r="15" ht="15" hidden="0" customHeight="1">
      <x:c r="A15" s="167"/>
      <x:c r="B15" s="167"/>
      <x:c r="C15" s="167"/>
      <x:c r="D15" s="167"/>
      <x:c r="E15" s="167"/>
      <x:c r="F15" s="167"/>
      <x:c r="G15" s="167"/>
      <x:c r="H15" s="167"/>
      <x:c r="I15" s="167"/>
      <x:c r="J15" s="167"/>
      <x:c r="K15" s="167"/>
      <x:c r="L15" s="167"/>
      <x:c r="M15" s="167"/>
      <x:c r="N15" s="167"/>
      <x:c r="O15" s="167"/>
    </x:row>
    <x:row r="16" ht="15" hidden="0" customHeight="1">
      <x:c r="A16" s="167"/>
      <x:c r="B16" s="167"/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</x:row>
    <x:row r="17" ht="15" hidden="0" customHeight="1">
      <x:c r="A17" s="167"/>
      <x:c r="B17" s="167"/>
      <x:c r="C17" s="167"/>
      <x:c r="D17" s="167"/>
      <x:c r="E17" s="167"/>
      <x:c r="F17" s="167"/>
      <x:c r="G17" s="167"/>
      <x:c r="H17" s="167"/>
      <x:c r="I17" s="167"/>
      <x:c r="J17" s="167"/>
      <x:c r="K17" s="167"/>
      <x:c r="L17" s="167"/>
      <x:c r="M17" s="167"/>
      <x:c r="N17" s="167"/>
      <x:c r="O17" s="167"/>
    </x:row>
    <x:row r="18" ht="15" hidden="0" customHeight="1">
      <x:c r="A18" s="167"/>
      <x:c r="B18" s="167"/>
      <x:c r="C18" s="167"/>
      <x:c r="D18" s="167"/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  <x:c r="O18" s="167"/>
    </x:row>
    <x:row r="19" ht="15" hidden="0" customHeight="1">
      <x:c r="A19" s="167"/>
      <x:c r="B19" s="167"/>
      <x:c r="C19" s="167"/>
      <x:c r="D19" s="167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</x:row>
    <x:row r="20" ht="15" hidden="0" customHeight="1">
      <x:c r="A20" s="167"/>
      <x:c r="B20" s="167"/>
      <x:c r="C20" s="167"/>
      <x:c r="D20" s="167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</x:row>
    <x:row r="21" ht="15" hidden="0" customHeight="1">
      <x:c r="A21" s="167"/>
      <x:c r="B21" s="167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</x:row>
    <x:row r="22" ht="15" hidden="0" customHeight="1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</x:row>
    <x:row r="23" ht="15" hidden="0" customHeight="1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</x:row>
    <x:row r="24" ht="15" hidden="0" customHeight="1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</x:row>
    <x:row r="25" ht="15" hidden="0" customHeight="1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</x:row>
    <x:row r="26" ht="15" hidden="0" customHeight="1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</x:row>
    <x:row r="27" ht="15" hidden="0" customHeight="1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</x:row>
    <x:row r="28" ht="15" hidden="0" customHeight="1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</x:row>
    <x:row r="29" ht="15" hidden="0" customHeight="1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</x:row>
    <x:row r="30" ht="15" hidden="0" customHeight="1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</x:row>
    <x:row r="31" ht="15" hidden="0" customHeight="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</x:row>
    <x:row r="32" ht="15" hidden="0" customHeight="1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</x:row>
    <x:row r="33" ht="15" hidden="0" customHeight="1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</x:row>
    <x:row r="34" ht="15" hidden="0" customHeight="1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</x:row>
    <x:row r="35" ht="15" hidden="0" customHeight="1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</x:row>
    <x:row r="36" ht="15" hidden="0" customHeight="1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</x:row>
    <x:row r="37" ht="15" hidden="0" customHeight="1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</x:row>
    <x:row r="38" ht="15" hidden="0" customHeight="1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</x:row>
    <x:row r="39" ht="15" hidden="0" customHeight="1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</x:row>
    <x:row r="40" ht="15" hidden="0" customHeight="1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</x:row>
    <x:row r="41" ht="15" hidden="0" customHeight="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</x:row>
    <x:row r="42" ht="15" hidden="0" customHeight="1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</x:row>
    <x:row r="43" ht="15" hidden="0" customHeight="1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</x:row>
    <x:row r="44" ht="15" hidden="0" customHeight="1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</x:row>
    <x:row r="45" ht="15" hidden="0" customHeight="1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</x:row>
    <x:row r="46" ht="15" hidden="0" customHeight="1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</x:row>
    <x:row r="47" ht="15" hidden="0" customHeight="1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</x:row>
    <x:row r="48" ht="15" hidden="0" customHeight="1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</x:row>
    <x:row r="49" ht="15" hidden="0" customHeight="1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</x:row>
    <x:row r="50" ht="15" hidden="0" customHeight="1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</x:row>
    <x:row r="51" ht="15" hidden="0" customHeight="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</x:row>
    <x:row r="52" ht="15" hidden="0" customHeight="1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</x:row>
    <x:row r="53" ht="15" hidden="0" customHeight="1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</x:row>
    <x:row r="54" ht="15" hidden="0" customHeight="1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</x:row>
    <x:row r="55" ht="15" hidden="0" customHeight="1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</x:row>
    <x:row r="56" ht="15" hidden="0" customHeight="1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</x:row>
    <x:row r="57" ht="15" hidden="0" customHeight="1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</x:row>
    <x:row r="58" ht="15" hidden="0" customHeight="1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</x:row>
    <x:row r="59" ht="15" hidden="0" customHeight="1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</x:row>
    <x:row r="60" ht="15" hidden="0" customHeight="1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</x:row>
    <x:row r="61" ht="15" hidden="0" customHeight="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</x:row>
    <x:row r="62" ht="15" hidden="0" customHeight="1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</x:row>
    <x:row r="63" ht="15" hidden="0" customHeight="1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</x:row>
    <x:row r="64" ht="15" hidden="0" customHeight="1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</x:row>
    <x:row r="65" ht="15" hidden="0" customHeight="1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</x:row>
    <x:row r="66" ht="15" hidden="0" customHeight="1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</x:row>
    <x:row r="67" ht="15" hidden="0" customHeight="1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</x:row>
    <x:row r="68" ht="15" hidden="0" customHeight="1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</x:row>
    <x:row r="69" ht="15" hidden="0" customHeight="1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</x:row>
    <x:row r="70" ht="15" hidden="0" customHeight="1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</x:row>
    <x:row r="71" ht="15" hidden="0" customHeight="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</x:row>
    <x:row r="72" ht="15" hidden="0" customHeight="1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</x:row>
    <x:row r="73" ht="15" hidden="0" customHeight="1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</x:row>
    <x:row r="74" ht="15" hidden="0" customHeight="1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</x:row>
    <x:row r="75" ht="15" hidden="0" customHeight="1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</x:row>
    <x:row r="76" ht="15" hidden="0" customHeight="1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</x:row>
    <x:row r="77" ht="15" hidden="0" customHeight="1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</x:row>
    <x:row r="78" ht="15" hidden="0" customHeight="1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</x:row>
    <x:row r="79" ht="15" hidden="0" customHeight="1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</x:row>
    <x:row r="80" ht="15" hidden="0" customHeight="1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</x:row>
    <x:row r="81" ht="15" hidden="0" customHeight="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</x:row>
    <x:row r="82" ht="15" hidden="0" customHeight="1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</x:row>
    <x:row r="83" ht="15" hidden="0" customHeight="1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</x:row>
    <x:row r="84" ht="15" hidden="0" customHeight="1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</x:row>
    <x:row r="85" ht="15" hidden="0" customHeight="1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</x:row>
    <x:row r="86" ht="15" hidden="0" customHeight="1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</x:row>
    <x:row r="87" ht="15" hidden="0" customHeight="1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</x:row>
    <x:row r="88" ht="15" hidden="0" customHeight="1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</x:row>
    <x:row r="89" ht="15" hidden="0" customHeight="1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</x:row>
    <x:row r="90" ht="15" hidden="0" customHeight="1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</x:row>
    <x:row r="91" ht="15" hidden="0" customHeight="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</x:row>
    <x:row r="92" ht="15" hidden="0" customHeight="1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</x:row>
    <x:row r="93" ht="15" hidden="0" customHeight="1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</x:row>
    <x:row r="94" ht="15" hidden="0" customHeight="1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</x:row>
    <x:row r="95" ht="15" hidden="0" customHeight="1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</x:row>
    <x:row r="96" ht="15" hidden="0" customHeight="1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</x:row>
    <x:row r="97" ht="15" hidden="0" customHeight="1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</x:row>
    <x:row r="98" ht="15" hidden="0" customHeight="1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</x:row>
    <x:row r="99" ht="15" hidden="0" customHeight="1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</x:row>
    <x:row r="100" ht="15" hidden="0" customHeight="1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</x:row>
    <x:row r="101" ht="15" hidden="0" customHeight="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</x:row>
    <x:row r="102" ht="15" hidden="0" customHeight="1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</x:row>
    <x:row r="103" ht="15" hidden="0" customHeight="1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</x:row>
    <x:row r="104" ht="15" hidden="0" customHeight="1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</x:row>
    <x:row r="105" ht="15" hidden="0" customHeight="1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</x:row>
    <x:row r="106" ht="15" hidden="0" customHeight="1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</x:row>
    <x:row r="107" ht="15" hidden="0" customHeight="1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</x:row>
    <x:row r="108" ht="15" hidden="0" customHeight="1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</x:row>
    <x:row r="109" ht="15" hidden="0" customHeight="1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</x:row>
    <x:row r="110" ht="15" hidden="0" customHeight="1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</x:row>
    <x:row r="111" ht="15" hidden="0" customHeight="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</x:row>
    <x:row r="112" ht="15" hidden="0" customHeight="1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</x:row>
    <x:row r="113" ht="15" hidden="0" customHeight="1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</x:row>
    <x:row r="114" ht="15" hidden="0" customHeight="1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</x:row>
    <x:row r="115" ht="15" hidden="0" customHeight="1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</x:row>
    <x:row r="116" ht="15" hidden="0" customHeight="1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</x:row>
    <x:row r="117" ht="15" hidden="0" customHeight="1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</x:row>
    <x:row r="118" ht="15" hidden="0" customHeight="1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</x:row>
    <x:row r="119" ht="15" hidden="0" customHeight="1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</x:row>
    <x:row r="120" ht="15" hidden="0" customHeight="1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</x:row>
  </x:sheetData>
  <x:mergeCells>
    <x:mergeCell ref="A1:G1"/>
  </x:mergeCells>
  <x:conditionalFormatting sqref="F4:F13">
    <x:cfRule type="containsText" dxfId="0" priority="1" operator="containsText" text="OK"/>
    <x:cfRule type="containsText" dxfId="1" priority="2" operator="containsText" text="PASS"/>
    <x:cfRule type="containsText" dxfId="2" priority="3" operator="containsText" text="WARN"/>
    <x:cfRule type="containsText" dxfId="3" priority="4" operator="containsText" text="CHECK"/>
    <x:cfRule type="containsText" dxfId="4" priority="5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6.670000076293945" hidden="0" customWidth="1"/>
    <x:col min="3" max="3" width="12.220000267028809" hidden="0" customWidth="1"/>
    <x:col min="4" max="4" width="13.329999923706055" hidden="0" customWidth="1"/>
    <x:col min="5" max="5" width="20" hidden="0" customWidth="1"/>
    <x:col min="6" max="6" width="26.670000076293945" hidden="0" customWidth="1"/>
    <x:col min="7" max="7" width="17.780000686645508" hidden="0" customWidth="1"/>
    <x:col min="8" max="8" width="17.780000686645508" hidden="0" customWidth="1"/>
    <x:col min="9" max="9" width="48.88999938964844" hidden="0" customWidth="1"/>
  </x:cols>
  <x:sheetData>
    <x:row r="1" ht="16.799999237060547" hidden="0" customHeight="1">
      <x:c r="A1" s="166" t="str">
        <x:v>Sources / Audit Trail</x:v>
      </x:c>
      <x:c r="B1" s="166" t="str">
        <x:v>Sources / Audit Trail</x:v>
      </x:c>
      <x:c r="C1" s="166" t="str">
        <x:v>Sources / Audit Trail</x:v>
      </x:c>
      <x:c r="D1" s="166" t="str">
        <x:v>Sources / Audit Trail</x:v>
      </x:c>
      <x:c r="E1" s="166" t="str">
        <x:v>Sources / Audit Trail</x:v>
      </x:c>
      <x:c r="F1" s="166" t="str">
        <x:v>Sources / Audit Trail</x:v>
      </x:c>
      <x:c r="G1" s="166" t="str">
        <x:v>Sources / Audit Trail</x:v>
      </x:c>
      <x:c r="H1" s="166" t="str">
        <x:v>Sources / Audit Trail</x:v>
      </x:c>
      <x:c r="I1" s="166" t="str">
        <x:v>Sources / Audit Trail</x:v>
      </x:c>
      <x:c r="J1" s="167"/>
      <x:c r="K1" s="167"/>
      <x:c r="L1" s="167"/>
      <x:c r="M1" s="167"/>
      <x:c r="N1" s="167"/>
      <x:c r="O1" s="167"/>
    </x:row>
    <x:row r="2" ht="15" hidden="0" customHeight="1">
      <x:c r="A2" s="167"/>
      <x:c r="B2" s="167"/>
      <x:c r="C2" s="167"/>
      <x:c r="D2" s="167"/>
      <x:c r="E2" s="167"/>
      <x:c r="F2" s="167"/>
      <x:c r="G2" s="167"/>
      <x:c r="H2" s="167"/>
      <x:c r="I2" s="167"/>
      <x:c r="J2" s="167"/>
      <x:c r="K2" s="167"/>
      <x:c r="L2" s="167"/>
      <x:c r="M2" s="167"/>
      <x:c r="N2" s="167"/>
      <x:c r="O2" s="167"/>
    </x:row>
    <x:row r="3" ht="15" hidden="0" customHeight="1">
      <x:c r="A3" s="168" t="str">
        <x:v>Item</x:v>
      </x:c>
      <x:c r="B3" s="169" t="str">
        <x:v>Value</x:v>
      </x:c>
      <x:c r="C3" s="169" t="str">
        <x:v>Units</x:v>
      </x:c>
      <x:c r="D3" s="169" t="str">
        <x:v>Period / as-of</x:v>
      </x:c>
      <x:c r="E3" s="169" t="str">
        <x:v>Source type</x:v>
      </x:c>
      <x:c r="F3" s="169" t="str">
        <x:v>Source name / ref</x:v>
      </x:c>
      <x:c r="G3" s="169" t="str">
        <x:v>Owner</x:v>
      </x:c>
      <x:c r="H3" s="169" t="str">
        <x:v>Accessed / refreshed</x:v>
      </x:c>
      <x:c r="I3" s="170" t="str">
        <x:v>Notes</x:v>
      </x:c>
      <x:c r="J3" s="167"/>
      <x:c r="K3" s="167"/>
      <x:c r="L3" s="167"/>
      <x:c r="M3" s="167"/>
      <x:c r="N3" s="167"/>
      <x:c r="O3" s="167"/>
    </x:row>
    <x:row r="4" ht="15" hidden="0" customHeight="1">
      <x:c r="A4" s="177" t="str">
        <x:v>Initial stated capital</x:v>
      </x:c>
      <x:c r="B4" s="178" t="n">
        <x:v>1000000</x:v>
      </x:c>
      <x:c r="C4" s="277" t="str">
        <x:v>JPY</x:v>
      </x:c>
      <x:c r="D4" s="277" t="str">
        <x:v>2026-06-30</x:v>
      </x:c>
      <x:c r="E4" s="277" t="str">
        <x:v>User input</x:v>
      </x:c>
      <x:c r="F4" s="277" t="str">
        <x:v>Chat prompt</x:v>
      </x:c>
      <x:c r="G4" s="277" t="str">
        <x:v>Founder / user</x:v>
      </x:c>
      <x:c r="H4" s="277" t="str">
        <x:v>2026-06-30</x:v>
      </x:c>
      <x:c r="I4" s="269" t="str">
        <x:v>Initial plan assumption</x:v>
      </x:c>
      <x:c r="J4" s="167"/>
      <x:c r="K4" s="167"/>
      <x:c r="L4" s="167"/>
      <x:c r="M4" s="167"/>
      <x:c r="N4" s="167"/>
      <x:c r="O4" s="167"/>
    </x:row>
    <x:row r="5" ht="15" hidden="0" customHeight="1">
      <x:c r="A5" s="182" t="str">
        <x:v>Seed financing amount</x:v>
      </x:c>
      <x:c r="B5" s="183" t="n">
        <x:v>100000000</x:v>
      </x:c>
      <x:c r="C5" s="278" t="str">
        <x:v>JPY</x:v>
      </x:c>
      <x:c r="D5" s="278" t="str">
        <x:v>2026-06-30</x:v>
      </x:c>
      <x:c r="E5" s="278" t="str">
        <x:v>User input</x:v>
      </x:c>
      <x:c r="F5" s="278" t="str">
        <x:v>Chat prompt</x:v>
      </x:c>
      <x:c r="G5" s="278" t="str">
        <x:v>Founder / user</x:v>
      </x:c>
      <x:c r="H5" s="278" t="str">
        <x:v>2026-06-30</x:v>
      </x:c>
      <x:c r="I5" s="272" t="str">
        <x:v>Planned common-share financing</x:v>
      </x:c>
      <x:c r="J5" s="167"/>
      <x:c r="K5" s="167"/>
      <x:c r="L5" s="167"/>
      <x:c r="M5" s="167"/>
      <x:c r="N5" s="167"/>
      <x:c r="O5" s="167"/>
    </x:row>
    <x:row r="6" ht="15" hidden="0" customHeight="1">
      <x:c r="A6" s="182" t="str">
        <x:v>Seed investor target ownership</x:v>
      </x:c>
      <x:c r="B6" s="184" t="n">
        <x:v>0.08</x:v>
      </x:c>
      <x:c r="C6" s="278" t="str">
        <x:v>%</x:v>
      </x:c>
      <x:c r="D6" s="278" t="str">
        <x:v>2026-06-30</x:v>
      </x:c>
      <x:c r="E6" s="278" t="str">
        <x:v>User input</x:v>
      </x:c>
      <x:c r="F6" s="278" t="str">
        <x:v>Chat prompt</x:v>
      </x:c>
      <x:c r="G6" s="278" t="str">
        <x:v>Founder / user</x:v>
      </x:c>
      <x:c r="H6" s="278" t="str">
        <x:v>2026-06-30</x:v>
      </x:c>
      <x:c r="I6" s="272" t="str">
        <x:v>Around 8%</x:v>
      </x:c>
      <x:c r="J6" s="167"/>
      <x:c r="K6" s="167"/>
      <x:c r="L6" s="167"/>
      <x:c r="M6" s="167"/>
      <x:c r="N6" s="167"/>
      <x:c r="O6" s="167"/>
    </x:row>
    <x:row r="7" ht="15" hidden="0" customHeight="1">
      <x:c r="A7" s="182" t="str">
        <x:v>SO pool</x:v>
      </x:c>
      <x:c r="B7" s="184" t="n">
        <x:v>0.1</x:v>
      </x:c>
      <x:c r="C7" s="278" t="str">
        <x:v>%</x:v>
      </x:c>
      <x:c r="D7" s="278" t="str">
        <x:v>2026-06-30</x:v>
      </x:c>
      <x:c r="E7" s="278" t="str">
        <x:v>Illustrative assumption</x:v>
      </x:c>
      <x:c r="F7" s="278" t="str">
        <x:v>Model default</x:v>
      </x:c>
      <x:c r="G7" s="278" t="str">
        <x:v>Founder / user</x:v>
      </x:c>
      <x:c r="H7" s="278" t="str">
        <x:v>2026-06-30</x:v>
      </x:c>
      <x:c r="I7" s="272" t="str">
        <x:v>Adjust to hiring plan</x:v>
      </x:c>
      <x:c r="J7" s="167"/>
      <x:c r="K7" s="167"/>
      <x:c r="L7" s="167"/>
      <x:c r="M7" s="167"/>
      <x:c r="N7" s="167"/>
      <x:c r="O7" s="167"/>
    </x:row>
    <x:row r="8" ht="15" hidden="0" customHeight="1">
      <x:c r="A8" s="182" t="str">
        <x:v>Future Series A/B rounds</x:v>
      </x:c>
      <x:c r="B8" s="278" t="str">
        <x:v>Illustrative</x:v>
      </x:c>
      <x:c r="C8" s="278" t="str">
        <x:v>n/a</x:v>
      </x:c>
      <x:c r="D8" s="278" t="str">
        <x:v>Future</x:v>
      </x:c>
      <x:c r="E8" s="278" t="str">
        <x:v>Illustrative assumption</x:v>
      </x:c>
      <x:c r="F8" s="278" t="str">
        <x:v>Model default</x:v>
      </x:c>
      <x:c r="G8" s="278" t="str">
        <x:v>Founder / user</x:v>
      </x:c>
      <x:c r="H8" s="278" t="str">
        <x:v>2026-06-30</x:v>
      </x:c>
      <x:c r="I8" s="272" t="str">
        <x:v>Not a financing recommendation</x:v>
      </x:c>
      <x:c r="J8" s="167"/>
      <x:c r="K8" s="167"/>
      <x:c r="L8" s="167"/>
      <x:c r="M8" s="167"/>
      <x:c r="N8" s="167"/>
      <x:c r="O8" s="167"/>
    </x:row>
    <x:row r="9" ht="15" hidden="0" customHeight="1">
      <x:c r="A9" s="182" t="str">
        <x:v>Revenue forecast</x:v>
      </x:c>
      <x:c r="B9" s="278" t="str">
        <x:v>Illustrative</x:v>
      </x:c>
      <x:c r="C9" s="278" t="str">
        <x:v>JPY</x:v>
      </x:c>
      <x:c r="D9" s="278" t="str">
        <x:v>2027-2030</x:v>
      </x:c>
      <x:c r="E9" s="278" t="str">
        <x:v>Illustrative assumption</x:v>
      </x:c>
      <x:c r="F9" s="278" t="str">
        <x:v>Model default</x:v>
      </x:c>
      <x:c r="G9" s="278" t="str">
        <x:v>Founder / user</x:v>
      </x:c>
      <x:c r="H9" s="278" t="str">
        <x:v>2026-06-30</x:v>
      </x:c>
      <x:c r="I9" s="272" t="str">
        <x:v>Replace with operating plan</x:v>
      </x:c>
      <x:c r="J9" s="167"/>
      <x:c r="K9" s="167"/>
      <x:c r="L9" s="167"/>
      <x:c r="M9" s="167"/>
      <x:c r="N9" s="167"/>
      <x:c r="O9" s="167"/>
    </x:row>
    <x:row r="10" ht="15" hidden="0" customHeight="1">
      <x:c r="A10" s="182" t="str">
        <x:v>PSR and profit multiples</x:v>
      </x:c>
      <x:c r="B10" s="278" t="str">
        <x:v>Illustrative</x:v>
      </x:c>
      <x:c r="C10" s="278" t="str">
        <x:v>x</x:v>
      </x:c>
      <x:c r="D10" s="278" t="str">
        <x:v>2026-06-30</x:v>
      </x:c>
      <x:c r="E10" s="278" t="str">
        <x:v>Illustrative assumption</x:v>
      </x:c>
      <x:c r="F10" s="278" t="str">
        <x:v>Model default</x:v>
      </x:c>
      <x:c r="G10" s="278" t="str">
        <x:v>Founder / user</x:v>
      </x:c>
      <x:c r="H10" s="278" t="str">
        <x:v>2026-06-30</x:v>
      </x:c>
      <x:c r="I10" s="272" t="str">
        <x:v>No market comps embedded</x:v>
      </x:c>
      <x:c r="J10" s="167"/>
      <x:c r="K10" s="167"/>
      <x:c r="L10" s="167"/>
      <x:c r="M10" s="167"/>
      <x:c r="N10" s="167"/>
      <x:c r="O10" s="167"/>
    </x:row>
    <x:row r="11" ht="15" hidden="0" customHeight="1">
      <x:c r="A11" s="182" t="str">
        <x:v>Capital/reserve allocation</x:v>
      </x:c>
      <x:c r="B11" s="278" t="str">
        <x:v>50%</x:v>
      </x:c>
      <x:c r="C11" s="278" t="str">
        <x:v>%</x:v>
      </x:c>
      <x:c r="D11" s="278" t="str">
        <x:v>2026-06-30</x:v>
      </x:c>
      <x:c r="E11" s="278" t="str">
        <x:v>Illustrative assumption</x:v>
      </x:c>
      <x:c r="F11" s="278" t="str">
        <x:v>Model default</x:v>
      </x:c>
      <x:c r="G11" s="278" t="str">
        <x:v>Founder / user</x:v>
      </x:c>
      <x:c r="H11" s="278" t="str">
        <x:v>2026-06-30</x:v>
      </x:c>
      <x:c r="I11" s="272" t="str">
        <x:v>Confirm legal/tax treatment before execution</x:v>
      </x:c>
      <x:c r="J11" s="167"/>
      <x:c r="K11" s="167"/>
      <x:c r="L11" s="167"/>
      <x:c r="M11" s="167"/>
      <x:c r="N11" s="167"/>
      <x:c r="O11" s="167"/>
    </x:row>
    <x:row r="12" ht="15" hidden="0" customHeight="1">
      <x:c r="A12" s="182" t="str">
        <x:v>Technology/IP transfer</x:v>
      </x:c>
      <x:c r="B12" s="278" t="str">
        <x:v>0</x:v>
      </x:c>
      <x:c r="C12" s="278" t="str">
        <x:v>JPY equity value</x:v>
      </x:c>
      <x:c r="D12" s="278" t="str">
        <x:v>2026-06-30</x:v>
      </x:c>
      <x:c r="E12" s="278" t="str">
        <x:v>Modeling assumption</x:v>
      </x:c>
      <x:c r="F12" s="278" t="str">
        <x:v>Model default</x:v>
      </x:c>
      <x:c r="G12" s="278" t="str">
        <x:v>Founder / user</x:v>
      </x:c>
      <x:c r="H12" s="278" t="str">
        <x:v>2026-06-30</x:v>
      </x:c>
      <x:c r="I12" s="272" t="str">
        <x:v>Handled outside cap table by contract/licensing in this model</x:v>
      </x:c>
      <x:c r="J12" s="167"/>
      <x:c r="K12" s="167"/>
      <x:c r="L12" s="167"/>
      <x:c r="M12" s="167"/>
      <x:c r="N12" s="167"/>
      <x:c r="O12" s="167"/>
    </x:row>
    <x:row r="13" ht="15" hidden="0" customHeight="1">
      <x:c r="A13" s="182" t="str">
        <x:v>Legal/tax advice</x:v>
      </x:c>
      <x:c r="B13" s="278" t="str">
        <x:v>Not provided</x:v>
      </x:c>
      <x:c r="C13" s="278" t="str">
        <x:v>n/a</x:v>
      </x:c>
      <x:c r="D13" s="278" t="str">
        <x:v>2026-06-30</x:v>
      </x:c>
      <x:c r="E13" s="278" t="str">
        <x:v>Caveat</x:v>
      </x:c>
      <x:c r="F13" s="278" t="str">
        <x:v>n/a</x:v>
      </x:c>
      <x:c r="G13" s="278" t="str">
        <x:v>n/a</x:v>
      </x:c>
      <x:c r="H13" s="278" t="str">
        <x:v>2026-06-30</x:v>
      </x:c>
      <x:c r="I13" s="272" t="str">
        <x:v>Use professional advisors before issuing shares or transferring IP</x:v>
      </x:c>
      <x:c r="J13" s="167"/>
      <x:c r="K13" s="167"/>
      <x:c r="L13" s="167"/>
      <x:c r="M13" s="167"/>
      <x:c r="N13" s="167"/>
      <x:c r="O13" s="167"/>
    </x:row>
    <x:row r="14" ht="15" hidden="0" customHeight="1">
      <x:c r="A14" s="187" t="str">
        <x:v>Workbook</x:v>
      </x:c>
      <x:c r="B14" s="275" t="str">
        <x:v>v1</x:v>
      </x:c>
      <x:c r="C14" s="275" t="str">
        <x:v>n/a</x:v>
      </x:c>
      <x:c r="D14" s="275" t="str">
        <x:v>2026-06-30</x:v>
      </x:c>
      <x:c r="E14" s="275" t="str">
        <x:v>Generated</x:v>
      </x:c>
      <x:c r="F14" s="275" t="str">
        <x:v>Codex</x:v>
      </x:c>
      <x:c r="G14" s="275" t="str">
        <x:v>Codex</x:v>
      </x:c>
      <x:c r="H14" s="275" t="str">
        <x:v>2026-06-30</x:v>
      </x:c>
      <x:c r="I14" s="276" t="str">
        <x:v>Formulas are intended as an editable planning template</x:v>
      </x:c>
      <x:c r="J14" s="167"/>
      <x:c r="K14" s="167"/>
      <x:c r="L14" s="167"/>
      <x:c r="M14" s="167"/>
      <x:c r="N14" s="167"/>
      <x:c r="O14" s="167"/>
    </x:row>
    <x:row r="15" ht="15" hidden="0" customHeight="1">
      <x:c r="A15" s="167" t="str"/>
      <x:c r="B15" s="167" t="str"/>
      <x:c r="C15" s="167" t="str"/>
      <x:c r="D15" s="167" t="str"/>
      <x:c r="E15" s="167" t="str"/>
      <x:c r="F15" s="167" t="str"/>
      <x:c r="G15" s="167" t="str"/>
      <x:c r="H15" s="167" t="str"/>
      <x:c r="I15" s="167" t="str"/>
      <x:c r="J15" s="167"/>
      <x:c r="K15" s="167"/>
      <x:c r="L15" s="167"/>
      <x:c r="M15" s="167"/>
      <x:c r="N15" s="167"/>
      <x:c r="O15" s="167"/>
    </x:row>
    <x:row r="16" ht="15" hidden="0" customHeight="1">
      <x:c r="A16" s="167"/>
      <x:c r="B16" s="167"/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</x:row>
    <x:row r="17" ht="15" hidden="0" customHeight="1">
      <x:c r="A17" s="167"/>
      <x:c r="B17" s="167"/>
      <x:c r="C17" s="167"/>
      <x:c r="D17" s="167"/>
      <x:c r="E17" s="167"/>
      <x:c r="F17" s="167"/>
      <x:c r="G17" s="167"/>
      <x:c r="H17" s="167"/>
      <x:c r="I17" s="167"/>
      <x:c r="J17" s="167"/>
      <x:c r="K17" s="167"/>
      <x:c r="L17" s="167"/>
      <x:c r="M17" s="167"/>
      <x:c r="N17" s="167"/>
      <x:c r="O17" s="167"/>
    </x:row>
    <x:row r="18" ht="15" hidden="0" customHeight="1">
      <x:c r="A18" s="167"/>
      <x:c r="B18" s="167"/>
      <x:c r="C18" s="167"/>
      <x:c r="D18" s="167"/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  <x:c r="O18" s="167"/>
    </x:row>
    <x:row r="19" ht="15" hidden="0" customHeight="1">
      <x:c r="A19" s="167"/>
      <x:c r="B19" s="167"/>
      <x:c r="C19" s="167"/>
      <x:c r="D19" s="167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</x:row>
    <x:row r="20" ht="15" hidden="0" customHeight="1">
      <x:c r="A20" s="167"/>
      <x:c r="B20" s="167"/>
      <x:c r="C20" s="167"/>
      <x:c r="D20" s="167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</x:row>
    <x:row r="21" ht="15" hidden="0" customHeight="1">
      <x:c r="A21" s="167"/>
      <x:c r="B21" s="167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</x:row>
    <x:row r="22" ht="15" hidden="0" customHeight="1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</x:row>
    <x:row r="23" ht="15" hidden="0" customHeight="1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</x:row>
    <x:row r="24" ht="15" hidden="0" customHeight="1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</x:row>
    <x:row r="25" ht="15" hidden="0" customHeight="1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</x:row>
    <x:row r="26" ht="15" hidden="0" customHeight="1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</x:row>
    <x:row r="27" ht="15" hidden="0" customHeight="1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</x:row>
    <x:row r="28" ht="15" hidden="0" customHeight="1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</x:row>
    <x:row r="29" ht="15" hidden="0" customHeight="1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</x:row>
    <x:row r="30" ht="15" hidden="0" customHeight="1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</x:row>
    <x:row r="31" ht="15" hidden="0" customHeight="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</x:row>
    <x:row r="32" ht="15" hidden="0" customHeight="1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</x:row>
    <x:row r="33" ht="15" hidden="0" customHeight="1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</x:row>
    <x:row r="34" ht="15" hidden="0" customHeight="1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</x:row>
    <x:row r="35" ht="15" hidden="0" customHeight="1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</x:row>
    <x:row r="36" ht="15" hidden="0" customHeight="1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</x:row>
    <x:row r="37" ht="15" hidden="0" customHeight="1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</x:row>
    <x:row r="38" ht="15" hidden="0" customHeight="1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</x:row>
    <x:row r="39" ht="15" hidden="0" customHeight="1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</x:row>
    <x:row r="40" ht="15" hidden="0" customHeight="1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</x:row>
    <x:row r="41" ht="15" hidden="0" customHeight="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</x:row>
    <x:row r="42" ht="15" hidden="0" customHeight="1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</x:row>
    <x:row r="43" ht="15" hidden="0" customHeight="1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</x:row>
    <x:row r="44" ht="15" hidden="0" customHeight="1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</x:row>
    <x:row r="45" ht="15" hidden="0" customHeight="1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</x:row>
    <x:row r="46" ht="15" hidden="0" customHeight="1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</x:row>
    <x:row r="47" ht="15" hidden="0" customHeight="1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</x:row>
    <x:row r="48" ht="15" hidden="0" customHeight="1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</x:row>
    <x:row r="49" ht="15" hidden="0" customHeight="1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</x:row>
    <x:row r="50" ht="15" hidden="0" customHeight="1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</x:row>
    <x:row r="51" ht="15" hidden="0" customHeight="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</x:row>
    <x:row r="52" ht="15" hidden="0" customHeight="1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</x:row>
    <x:row r="53" ht="15" hidden="0" customHeight="1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</x:row>
    <x:row r="54" ht="15" hidden="0" customHeight="1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</x:row>
    <x:row r="55" ht="15" hidden="0" customHeight="1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</x:row>
    <x:row r="56" ht="15" hidden="0" customHeight="1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</x:row>
    <x:row r="57" ht="15" hidden="0" customHeight="1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</x:row>
    <x:row r="58" ht="15" hidden="0" customHeight="1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</x:row>
    <x:row r="59" ht="15" hidden="0" customHeight="1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</x:row>
    <x:row r="60" ht="15" hidden="0" customHeight="1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</x:row>
    <x:row r="61" ht="15" hidden="0" customHeight="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</x:row>
    <x:row r="62" ht="15" hidden="0" customHeight="1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</x:row>
    <x:row r="63" ht="15" hidden="0" customHeight="1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</x:row>
    <x:row r="64" ht="15" hidden="0" customHeight="1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</x:row>
    <x:row r="65" ht="15" hidden="0" customHeight="1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</x:row>
    <x:row r="66" ht="15" hidden="0" customHeight="1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</x:row>
    <x:row r="67" ht="15" hidden="0" customHeight="1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</x:row>
    <x:row r="68" ht="15" hidden="0" customHeight="1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</x:row>
    <x:row r="69" ht="15" hidden="0" customHeight="1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</x:row>
    <x:row r="70" ht="15" hidden="0" customHeight="1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</x:row>
    <x:row r="71" ht="15" hidden="0" customHeight="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</x:row>
    <x:row r="72" ht="15" hidden="0" customHeight="1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</x:row>
    <x:row r="73" ht="15" hidden="0" customHeight="1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</x:row>
    <x:row r="74" ht="15" hidden="0" customHeight="1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</x:row>
    <x:row r="75" ht="15" hidden="0" customHeight="1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</x:row>
    <x:row r="76" ht="15" hidden="0" customHeight="1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</x:row>
    <x:row r="77" ht="15" hidden="0" customHeight="1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</x:row>
    <x:row r="78" ht="15" hidden="0" customHeight="1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</x:row>
    <x:row r="79" ht="15" hidden="0" customHeight="1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</x:row>
    <x:row r="80" ht="15" hidden="0" customHeight="1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</x:row>
    <x:row r="81" ht="15" hidden="0" customHeight="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</x:row>
    <x:row r="82" ht="15" hidden="0" customHeight="1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</x:row>
    <x:row r="83" ht="15" hidden="0" customHeight="1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</x:row>
    <x:row r="84" ht="15" hidden="0" customHeight="1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</x:row>
    <x:row r="85" ht="15" hidden="0" customHeight="1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</x:row>
    <x:row r="86" ht="15" hidden="0" customHeight="1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</x:row>
    <x:row r="87" ht="15" hidden="0" customHeight="1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</x:row>
    <x:row r="88" ht="15" hidden="0" customHeight="1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</x:row>
    <x:row r="89" ht="15" hidden="0" customHeight="1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</x:row>
    <x:row r="90" ht="15" hidden="0" customHeight="1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</x:row>
    <x:row r="91" ht="15" hidden="0" customHeight="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</x:row>
    <x:row r="92" ht="15" hidden="0" customHeight="1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</x:row>
    <x:row r="93" ht="15" hidden="0" customHeight="1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</x:row>
    <x:row r="94" ht="15" hidden="0" customHeight="1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</x:row>
    <x:row r="95" ht="15" hidden="0" customHeight="1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</x:row>
    <x:row r="96" ht="15" hidden="0" customHeight="1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</x:row>
    <x:row r="97" ht="15" hidden="0" customHeight="1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</x:row>
    <x:row r="98" ht="15" hidden="0" customHeight="1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</x:row>
    <x:row r="99" ht="15" hidden="0" customHeight="1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</x:row>
    <x:row r="100" ht="15" hidden="0" customHeight="1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</x:row>
    <x:row r="101" ht="15" hidden="0" customHeight="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</x:row>
    <x:row r="102" ht="15" hidden="0" customHeight="1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</x:row>
    <x:row r="103" ht="15" hidden="0" customHeight="1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</x:row>
    <x:row r="104" ht="15" hidden="0" customHeight="1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</x:row>
    <x:row r="105" ht="15" hidden="0" customHeight="1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</x:row>
    <x:row r="106" ht="15" hidden="0" customHeight="1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</x:row>
    <x:row r="107" ht="15" hidden="0" customHeight="1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</x:row>
    <x:row r="108" ht="15" hidden="0" customHeight="1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</x:row>
    <x:row r="109" ht="15" hidden="0" customHeight="1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</x:row>
    <x:row r="110" ht="15" hidden="0" customHeight="1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</x:row>
    <x:row r="111" ht="15" hidden="0" customHeight="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</x:row>
    <x:row r="112" ht="15" hidden="0" customHeight="1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</x:row>
    <x:row r="113" ht="15" hidden="0" customHeight="1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</x:row>
    <x:row r="114" ht="15" hidden="0" customHeight="1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</x:row>
    <x:row r="115" ht="15" hidden="0" customHeight="1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</x:row>
    <x:row r="116" ht="15" hidden="0" customHeight="1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</x:row>
    <x:row r="117" ht="15" hidden="0" customHeight="1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</x:row>
    <x:row r="118" ht="15" hidden="0" customHeight="1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</x:row>
    <x:row r="119" ht="15" hidden="0" customHeight="1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</x:row>
    <x:row r="120" ht="15" hidden="0" customHeight="1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</x:row>
  </x:sheetData>
  <x:mergeCells>
    <x:mergeCell ref="A1:I1"/>
  </x:mergeCells>
  <x:pageMargins left="0.7" right="0.7" top="0.75" bottom="0.75" header="0.3" footer="0.3"/>
</x:worksheet>
</file>